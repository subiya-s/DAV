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hedi\Desktop\dav\"/>
    </mc:Choice>
  </mc:AlternateContent>
  <xr:revisionPtr revIDLastSave="0" documentId="8_{B0166DEA-56FE-4396-9F47-420A2F0BCF7C}" xr6:coauthVersionLast="47" xr6:coauthVersionMax="47" xr10:uidLastSave="{00000000-0000-0000-0000-000000000000}"/>
  <bookViews>
    <workbookView xWindow="-120" yWindow="-120" windowWidth="29040" windowHeight="15840" activeTab="1" xr2:uid="{449A861D-854C-44A5-9706-89B4B05638B3}"/>
  </bookViews>
  <sheets>
    <sheet name="ai_impact_jobs_2010_2025 (2)" sheetId="1" r:id="rId1"/>
    <sheet name="Salary" sheetId="2" r:id="rId2"/>
    <sheet name="Salary Change" sheetId="3" r:id="rId3"/>
  </sheets>
  <definedNames>
    <definedName name="_xlchart.v1.0" hidden="1">Salary!$A$1</definedName>
    <definedName name="_xlchart.v1.1" hidden="1">Salary!$A$2:$A$1000</definedName>
    <definedName name="_xlchart.v1.2" hidden="1">'Salary Change'!$A$2:$A$1000</definedName>
  </definedName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50" i="3" l="1"/>
  <c r="D549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2" i="3"/>
  <c r="D2" i="2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2" i="2"/>
  <c r="B7" i="3"/>
  <c r="B5" i="3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245" i="2"/>
  <c r="C246" i="2"/>
  <c r="D246" i="2" s="1"/>
  <c r="C247" i="2"/>
  <c r="C248" i="2"/>
  <c r="D248" i="2" s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D76" i="2" s="1"/>
  <c r="C77" i="2"/>
  <c r="C78" i="2"/>
  <c r="D78" i="2" s="1"/>
  <c r="C79" i="2"/>
  <c r="C80" i="2"/>
  <c r="D80" i="2" s="1"/>
  <c r="C81" i="2"/>
  <c r="C82" i="2"/>
  <c r="D82" i="2" s="1"/>
  <c r="C83" i="2"/>
  <c r="C84" i="2"/>
  <c r="D84" i="2" s="1"/>
  <c r="C85" i="2"/>
  <c r="C86" i="2"/>
  <c r="D86" i="2" s="1"/>
  <c r="C87" i="2"/>
  <c r="C88" i="2"/>
  <c r="D88" i="2" s="1"/>
  <c r="C89" i="2"/>
  <c r="C90" i="2"/>
  <c r="D90" i="2" s="1"/>
  <c r="C91" i="2"/>
  <c r="C92" i="2"/>
  <c r="D92" i="2" s="1"/>
  <c r="C93" i="2"/>
  <c r="C94" i="2"/>
  <c r="D94" i="2" s="1"/>
  <c r="C95" i="2"/>
  <c r="C96" i="2"/>
  <c r="D96" i="2" s="1"/>
  <c r="C97" i="2"/>
  <c r="C98" i="2"/>
  <c r="D98" i="2" s="1"/>
  <c r="C99" i="2"/>
  <c r="C100" i="2"/>
  <c r="D100" i="2" s="1"/>
  <c r="C101" i="2"/>
  <c r="C102" i="2"/>
  <c r="D102" i="2" s="1"/>
  <c r="C103" i="2"/>
  <c r="C104" i="2"/>
  <c r="D104" i="2" s="1"/>
  <c r="C105" i="2"/>
  <c r="C106" i="2"/>
  <c r="D106" i="2" s="1"/>
  <c r="C107" i="2"/>
  <c r="C108" i="2"/>
  <c r="D108" i="2" s="1"/>
  <c r="C109" i="2"/>
  <c r="C110" i="2"/>
  <c r="D110" i="2" s="1"/>
  <c r="C111" i="2"/>
  <c r="C112" i="2"/>
  <c r="D112" i="2" s="1"/>
  <c r="C113" i="2"/>
  <c r="C114" i="2"/>
  <c r="D114" i="2" s="1"/>
  <c r="C115" i="2"/>
  <c r="C116" i="2"/>
  <c r="D116" i="2" s="1"/>
  <c r="C117" i="2"/>
  <c r="C118" i="2"/>
  <c r="D118" i="2" s="1"/>
  <c r="C119" i="2"/>
  <c r="C120" i="2"/>
  <c r="D120" i="2" s="1"/>
  <c r="C121" i="2"/>
  <c r="C122" i="2"/>
  <c r="D122" i="2" s="1"/>
  <c r="C123" i="2"/>
  <c r="C124" i="2"/>
  <c r="D124" i="2" s="1"/>
  <c r="C125" i="2"/>
  <c r="C126" i="2"/>
  <c r="D126" i="2" s="1"/>
  <c r="C127" i="2"/>
  <c r="C128" i="2"/>
  <c r="D128" i="2" s="1"/>
  <c r="C129" i="2"/>
  <c r="C130" i="2"/>
  <c r="D130" i="2" s="1"/>
  <c r="C131" i="2"/>
  <c r="C132" i="2"/>
  <c r="D132" i="2" s="1"/>
  <c r="C133" i="2"/>
  <c r="C134" i="2"/>
  <c r="D134" i="2" s="1"/>
  <c r="C135" i="2"/>
  <c r="C136" i="2"/>
  <c r="D136" i="2" s="1"/>
  <c r="C137" i="2"/>
  <c r="C138" i="2"/>
  <c r="D138" i="2" s="1"/>
  <c r="C139" i="2"/>
  <c r="C140" i="2"/>
  <c r="D140" i="2" s="1"/>
  <c r="C141" i="2"/>
  <c r="C142" i="2"/>
  <c r="D142" i="2" s="1"/>
  <c r="C143" i="2"/>
  <c r="C144" i="2"/>
  <c r="D144" i="2" s="1"/>
  <c r="C145" i="2"/>
  <c r="C146" i="2"/>
  <c r="D146" i="2" s="1"/>
  <c r="C147" i="2"/>
  <c r="C148" i="2"/>
  <c r="D148" i="2" s="1"/>
  <c r="C149" i="2"/>
  <c r="C150" i="2"/>
  <c r="D150" i="2" s="1"/>
  <c r="C151" i="2"/>
  <c r="C152" i="2"/>
  <c r="D152" i="2" s="1"/>
  <c r="C153" i="2"/>
  <c r="C154" i="2"/>
  <c r="D154" i="2" s="1"/>
  <c r="C155" i="2"/>
  <c r="C156" i="2"/>
  <c r="D156" i="2" s="1"/>
  <c r="C157" i="2"/>
  <c r="C158" i="2"/>
  <c r="D158" i="2" s="1"/>
  <c r="C159" i="2"/>
  <c r="C160" i="2"/>
  <c r="D160" i="2" s="1"/>
  <c r="C161" i="2"/>
  <c r="C162" i="2"/>
  <c r="D162" i="2" s="1"/>
  <c r="C163" i="2"/>
  <c r="C164" i="2"/>
  <c r="D164" i="2" s="1"/>
  <c r="C165" i="2"/>
  <c r="C166" i="2"/>
  <c r="D166" i="2" s="1"/>
  <c r="C167" i="2"/>
  <c r="C168" i="2"/>
  <c r="D168" i="2" s="1"/>
  <c r="C169" i="2"/>
  <c r="C170" i="2"/>
  <c r="D170" i="2" s="1"/>
  <c r="C171" i="2"/>
  <c r="C172" i="2"/>
  <c r="D172" i="2" s="1"/>
  <c r="C173" i="2"/>
  <c r="C174" i="2"/>
  <c r="D174" i="2" s="1"/>
  <c r="C175" i="2"/>
  <c r="C176" i="2"/>
  <c r="D176" i="2" s="1"/>
  <c r="C177" i="2"/>
  <c r="C178" i="2"/>
  <c r="D178" i="2" s="1"/>
  <c r="C179" i="2"/>
  <c r="C180" i="2"/>
  <c r="D180" i="2" s="1"/>
  <c r="C181" i="2"/>
  <c r="C182" i="2"/>
  <c r="D182" i="2" s="1"/>
  <c r="C183" i="2"/>
  <c r="C184" i="2"/>
  <c r="D184" i="2" s="1"/>
  <c r="C185" i="2"/>
  <c r="C186" i="2"/>
  <c r="D186" i="2" s="1"/>
  <c r="C187" i="2"/>
  <c r="C188" i="2"/>
  <c r="D188" i="2" s="1"/>
  <c r="C189" i="2"/>
  <c r="C190" i="2"/>
  <c r="D190" i="2" s="1"/>
  <c r="C191" i="2"/>
  <c r="C192" i="2"/>
  <c r="D192" i="2" s="1"/>
  <c r="C193" i="2"/>
  <c r="C194" i="2"/>
  <c r="D194" i="2" s="1"/>
  <c r="C195" i="2"/>
  <c r="C196" i="2"/>
  <c r="D196" i="2" s="1"/>
  <c r="C197" i="2"/>
  <c r="C198" i="2"/>
  <c r="D198" i="2" s="1"/>
  <c r="C199" i="2"/>
  <c r="C200" i="2"/>
  <c r="D200" i="2" s="1"/>
  <c r="C201" i="2"/>
  <c r="C202" i="2"/>
  <c r="D202" i="2" s="1"/>
  <c r="C203" i="2"/>
  <c r="C204" i="2"/>
  <c r="D204" i="2" s="1"/>
  <c r="C205" i="2"/>
  <c r="C206" i="2"/>
  <c r="D206" i="2" s="1"/>
  <c r="C207" i="2"/>
  <c r="C208" i="2"/>
  <c r="D208" i="2" s="1"/>
  <c r="C209" i="2"/>
  <c r="C210" i="2"/>
  <c r="D210" i="2" s="1"/>
  <c r="C211" i="2"/>
  <c r="C212" i="2"/>
  <c r="D212" i="2" s="1"/>
  <c r="C213" i="2"/>
  <c r="C214" i="2"/>
  <c r="D214" i="2" s="1"/>
  <c r="C215" i="2"/>
  <c r="C216" i="2"/>
  <c r="D216" i="2" s="1"/>
  <c r="C217" i="2"/>
  <c r="C218" i="2"/>
  <c r="D218" i="2" s="1"/>
  <c r="C219" i="2"/>
  <c r="C220" i="2"/>
  <c r="D220" i="2" s="1"/>
  <c r="C221" i="2"/>
  <c r="C222" i="2"/>
  <c r="D222" i="2" s="1"/>
  <c r="C223" i="2"/>
  <c r="C224" i="2"/>
  <c r="D224" i="2" s="1"/>
  <c r="C225" i="2"/>
  <c r="C226" i="2"/>
  <c r="D226" i="2" s="1"/>
  <c r="C227" i="2"/>
  <c r="C228" i="2"/>
  <c r="D228" i="2" s="1"/>
  <c r="C229" i="2"/>
  <c r="C230" i="2"/>
  <c r="D230" i="2" s="1"/>
  <c r="C231" i="2"/>
  <c r="C232" i="2"/>
  <c r="D232" i="2" s="1"/>
  <c r="C233" i="2"/>
  <c r="C234" i="2"/>
  <c r="D234" i="2" s="1"/>
  <c r="C235" i="2"/>
  <c r="C236" i="2"/>
  <c r="D236" i="2" s="1"/>
  <c r="C237" i="2"/>
  <c r="C238" i="2"/>
  <c r="D238" i="2" s="1"/>
  <c r="C239" i="2"/>
  <c r="C240" i="2"/>
  <c r="D240" i="2" s="1"/>
  <c r="C241" i="2"/>
  <c r="C242" i="2"/>
  <c r="D242" i="2" s="1"/>
  <c r="C243" i="2"/>
  <c r="C244" i="2"/>
  <c r="D244" i="2" s="1"/>
  <c r="D1000" i="2"/>
  <c r="D999" i="2"/>
  <c r="D998" i="2"/>
  <c r="D997" i="2"/>
  <c r="D996" i="2"/>
  <c r="D995" i="2"/>
  <c r="D994" i="2"/>
  <c r="D993" i="2"/>
  <c r="D992" i="2"/>
  <c r="D991" i="2"/>
  <c r="D990" i="2"/>
  <c r="D989" i="2"/>
  <c r="D988" i="2"/>
  <c r="D987" i="2"/>
  <c r="D986" i="2"/>
  <c r="D985" i="2"/>
  <c r="D984" i="2"/>
  <c r="D983" i="2"/>
  <c r="D982" i="2"/>
  <c r="D981" i="2"/>
  <c r="D980" i="2"/>
  <c r="D979" i="2"/>
  <c r="D978" i="2"/>
  <c r="D977" i="2"/>
  <c r="D976" i="2"/>
  <c r="D975" i="2"/>
  <c r="D974" i="2"/>
  <c r="D973" i="2"/>
  <c r="D972" i="2"/>
  <c r="D971" i="2"/>
  <c r="D970" i="2"/>
  <c r="D969" i="2"/>
  <c r="D968" i="2"/>
  <c r="D967" i="2"/>
  <c r="D966" i="2"/>
  <c r="D965" i="2"/>
  <c r="D964" i="2"/>
  <c r="D963" i="2"/>
  <c r="D962" i="2"/>
  <c r="D961" i="2"/>
  <c r="D960" i="2"/>
  <c r="D959" i="2"/>
  <c r="D958" i="2"/>
  <c r="D957" i="2"/>
  <c r="D956" i="2"/>
  <c r="D955" i="2"/>
  <c r="D954" i="2"/>
  <c r="D953" i="2"/>
  <c r="D952" i="2"/>
  <c r="D951" i="2"/>
  <c r="D950" i="2"/>
  <c r="D949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7" i="2"/>
  <c r="D245" i="2"/>
  <c r="D243" i="2"/>
  <c r="D241" i="2"/>
  <c r="D239" i="2"/>
  <c r="D237" i="2"/>
  <c r="D235" i="2"/>
  <c r="D233" i="2"/>
  <c r="D231" i="2"/>
  <c r="D229" i="2"/>
  <c r="D227" i="2"/>
  <c r="D225" i="2"/>
  <c r="D223" i="2"/>
  <c r="D221" i="2"/>
  <c r="D219" i="2"/>
  <c r="D217" i="2"/>
  <c r="D215" i="2"/>
  <c r="D213" i="2"/>
  <c r="D211" i="2"/>
  <c r="D209" i="2"/>
  <c r="D207" i="2"/>
  <c r="D205" i="2"/>
  <c r="D203" i="2"/>
  <c r="D201" i="2"/>
  <c r="D199" i="2"/>
  <c r="D197" i="2"/>
  <c r="D195" i="2"/>
  <c r="D193" i="2"/>
  <c r="D191" i="2"/>
  <c r="D189" i="2"/>
  <c r="D187" i="2"/>
  <c r="D185" i="2"/>
  <c r="D183" i="2"/>
  <c r="D181" i="2"/>
  <c r="D179" i="2"/>
  <c r="D177" i="2"/>
  <c r="D175" i="2"/>
  <c r="D173" i="2"/>
  <c r="D171" i="2"/>
  <c r="D169" i="2"/>
  <c r="D167" i="2"/>
  <c r="D165" i="2"/>
  <c r="D163" i="2"/>
  <c r="D161" i="2"/>
  <c r="D159" i="2"/>
  <c r="D157" i="2"/>
  <c r="D155" i="2"/>
  <c r="D153" i="2"/>
  <c r="D151" i="2"/>
  <c r="D149" i="2"/>
  <c r="D147" i="2"/>
  <c r="D145" i="2"/>
  <c r="D143" i="2"/>
  <c r="D141" i="2"/>
  <c r="D139" i="2"/>
  <c r="D137" i="2"/>
  <c r="D135" i="2"/>
  <c r="D133" i="2"/>
  <c r="D131" i="2"/>
  <c r="D129" i="2"/>
  <c r="D127" i="2"/>
  <c r="D125" i="2"/>
  <c r="D123" i="2"/>
  <c r="D121" i="2"/>
  <c r="D119" i="2"/>
  <c r="D117" i="2"/>
  <c r="D115" i="2"/>
  <c r="D113" i="2"/>
  <c r="D111" i="2"/>
  <c r="D109" i="2"/>
  <c r="D107" i="2"/>
  <c r="D105" i="2"/>
  <c r="D103" i="2"/>
  <c r="D101" i="2"/>
  <c r="D99" i="2"/>
  <c r="D97" i="2"/>
  <c r="D95" i="2"/>
  <c r="D93" i="2"/>
  <c r="D91" i="2"/>
  <c r="D89" i="2"/>
  <c r="D87" i="2"/>
  <c r="D85" i="2"/>
  <c r="D83" i="2"/>
  <c r="D81" i="2"/>
  <c r="D79" i="2"/>
  <c r="D77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B7" i="2"/>
  <c r="D6" i="2"/>
  <c r="D5" i="2"/>
  <c r="B5" i="2"/>
  <c r="D4" i="2"/>
  <c r="D3" i="2"/>
</calcChain>
</file>

<file path=xl/sharedStrings.xml><?xml version="1.0" encoding="utf-8"?>
<sst xmlns="http://schemas.openxmlformats.org/spreadsheetml/2006/main" count="11664" uniqueCount="2295">
  <si>
    <t>Growing</t>
  </si>
  <si>
    <t>Statistics, SQL, Business Analysis, Research, Cloud Computing</t>
  </si>
  <si>
    <t>Junior</t>
  </si>
  <si>
    <t>Business Analyst</t>
  </si>
  <si>
    <t>Healthcare</t>
  </si>
  <si>
    <t>Large</t>
  </si>
  <si>
    <t>NextGen Solutions</t>
  </si>
  <si>
    <t>Dubai</t>
  </si>
  <si>
    <t>South Asia</t>
  </si>
  <si>
    <t>Sri Lanka</t>
  </si>
  <si>
    <t>c7c6c484-f4f5-466e-aa26-e78bb75239a3</t>
  </si>
  <si>
    <t>generative AI, MLOps, deep learning, machine learning</t>
  </si>
  <si>
    <t>Statistics, Software Engineering, Python, Research, SQL</t>
  </si>
  <si>
    <t>Intern</t>
  </si>
  <si>
    <t>Policy Analyst</t>
  </si>
  <si>
    <t>Government</t>
  </si>
  <si>
    <t>Startup</t>
  </si>
  <si>
    <t>New York</t>
  </si>
  <si>
    <t>East Asia</t>
  </si>
  <si>
    <t>South Korea</t>
  </si>
  <si>
    <t>a932c7ab-dfa4-4e4a-a2c9-deadb525251c</t>
  </si>
  <si>
    <t>machine learning, computer vision, deep learning, MLOps</t>
  </si>
  <si>
    <t>Communication, Software Engineering, Data Analysis</t>
  </si>
  <si>
    <t>Lead</t>
  </si>
  <si>
    <t>Data Scientist</t>
  </si>
  <si>
    <t>Enterprise</t>
  </si>
  <si>
    <t>Global Analytics</t>
  </si>
  <si>
    <t>Sydney</t>
  </si>
  <si>
    <t>South America</t>
  </si>
  <si>
    <t>Brazil</t>
  </si>
  <si>
    <t>90649a9e-adff-4672-907d-2e40f4742df5</t>
  </si>
  <si>
    <t>reinforcement learning, deep learning</t>
  </si>
  <si>
    <t>Communication, Business Analysis, Python, Project Management, Research</t>
  </si>
  <si>
    <t>Software Engineer</t>
  </si>
  <si>
    <t>Education</t>
  </si>
  <si>
    <t>Future Technologies</t>
  </si>
  <si>
    <t>Sao Paulo</t>
  </si>
  <si>
    <t>0f0d5a89-6f97-46b4-b8a1-c08725492798</t>
  </si>
  <si>
    <t>machine learning, deep learning, MLOps</t>
  </si>
  <si>
    <t>Communication, Python, Research</t>
  </si>
  <si>
    <t>Operations Manager</t>
  </si>
  <si>
    <t>Future Analytics</t>
  </si>
  <si>
    <t>Nairobi</t>
  </si>
  <si>
    <t>Europe</t>
  </si>
  <si>
    <t>Spain</t>
  </si>
  <si>
    <t>c7dc4fdc-e381-4054-acf7-d7bfa8f4386b</t>
  </si>
  <si>
    <t>Mature</t>
  </si>
  <si>
    <t>reinforcement learning</t>
  </si>
  <si>
    <t>Statistics, Data Analysis, SQL, Communication</t>
  </si>
  <si>
    <t>Finance</t>
  </si>
  <si>
    <t>Berlin</t>
  </si>
  <si>
    <t>China</t>
  </si>
  <si>
    <t>2f2f288e-7242-45aa-b669-fa922999f572</t>
  </si>
  <si>
    <t>computer vision, generative AI, deep learning</t>
  </si>
  <si>
    <t>Communication, SQL, Statistics</t>
  </si>
  <si>
    <t>Global Technologies</t>
  </si>
  <si>
    <t>Bangalore</t>
  </si>
  <si>
    <t>Oceania</t>
  </si>
  <si>
    <t>Australia</t>
  </si>
  <si>
    <t>7ca6c242-f8bc-45cf-831b-3a131e8d373a</t>
  </si>
  <si>
    <t>Communication, Research, Software Engineering, Business Analysis, Data Analysis</t>
  </si>
  <si>
    <t>Energy</t>
  </si>
  <si>
    <t>Medium</t>
  </si>
  <si>
    <t>NextGen Technologies</t>
  </si>
  <si>
    <t>North America</t>
  </si>
  <si>
    <t>Canada</t>
  </si>
  <si>
    <t>a63caee5-52f3-4317-b43e-623013189112</t>
  </si>
  <si>
    <t>Software Engineering, Communication, Business Analysis, Python</t>
  </si>
  <si>
    <t>AI Researcher</t>
  </si>
  <si>
    <t>Global Solutions</t>
  </si>
  <si>
    <t>Taiwan</t>
  </si>
  <si>
    <t>e97f79aa-3556-47d2-aa99-08ce42e12943</t>
  </si>
  <si>
    <t>Project Management, Data Analysis, SQL, Communication, Research, Software Engineering</t>
  </si>
  <si>
    <t>Mid</t>
  </si>
  <si>
    <t>ML Engineer</t>
  </si>
  <si>
    <t>Future Systems</t>
  </si>
  <si>
    <t>6ba31ce3-fd73-45c5-91b2-7811e36111be</t>
  </si>
  <si>
    <t>NLP, reinforcement learning, computer vision, machine learning</t>
  </si>
  <si>
    <t>Software Engineering, Research, Data Analysis, Project Management, Python</t>
  </si>
  <si>
    <t>Senior</t>
  </si>
  <si>
    <t>Global Systems</t>
  </si>
  <si>
    <t>Colombia</t>
  </si>
  <si>
    <t>bebf7621-4b17-4bf9-9e1f-beb92114dd70</t>
  </si>
  <si>
    <t>deep learning, computer vision, machine learning</t>
  </si>
  <si>
    <t>SQL, Software Engineering, Business Analysis</t>
  </si>
  <si>
    <t>Manufacturing</t>
  </si>
  <si>
    <t>Singapore</t>
  </si>
  <si>
    <t>4bf9e802-5dbc-4137-9dc5-759161d7ce92</t>
  </si>
  <si>
    <t>NLP, MLOps</t>
  </si>
  <si>
    <t>SQL, Cloud Computing, Data Analysis</t>
  </si>
  <si>
    <t>Research Scientist</t>
  </si>
  <si>
    <t>Middle East</t>
  </si>
  <si>
    <t>UAE</t>
  </si>
  <si>
    <t>e158490f-47a2-479b-b711-4124103c643d</t>
  </si>
  <si>
    <t>LLMs, computer vision, deep learning</t>
  </si>
  <si>
    <t>SQL, Business Analysis, Python, Cloud Computing</t>
  </si>
  <si>
    <t>Executive</t>
  </si>
  <si>
    <t>Systems Engineer</t>
  </si>
  <si>
    <t>Netherlands</t>
  </si>
  <si>
    <t>1badedc3-0c64-40a0-ae86-3f5aadb46a03</t>
  </si>
  <si>
    <t>NLP, generative AI, machine learning, reinforcement learning</t>
  </si>
  <si>
    <t>Business Analysis, Software Engineering, Research, Statistics</t>
  </si>
  <si>
    <t>Tech</t>
  </si>
  <si>
    <t>Prime Technologies</t>
  </si>
  <si>
    <t>Bangladesh</t>
  </si>
  <si>
    <t>2f335acb-2840-4f31-9c2c-137b1baa2b9b</t>
  </si>
  <si>
    <t>Data Analysis, Python, SQL, Communication, Cloud Computing</t>
  </si>
  <si>
    <t>Product Manager</t>
  </si>
  <si>
    <t>NextGen Analytics</t>
  </si>
  <si>
    <t>e50e39b3-46b7-4dd1-89db-2404f1d9b560</t>
  </si>
  <si>
    <t>NLP</t>
  </si>
  <si>
    <t>Software Engineering, Python, Research, Cloud Computing, Communication, Statistics</t>
  </si>
  <si>
    <t>Prime Analytics</t>
  </si>
  <si>
    <t>e2f4dfc7-088e-4e7b-b100-c2b7d2d5b15b</t>
  </si>
  <si>
    <t>Research, Cloud Computing, SQL, Data Analysis, Statistics</t>
  </si>
  <si>
    <t>NextGen Systems</t>
  </si>
  <si>
    <t>Paris</t>
  </si>
  <si>
    <t>Saudi Arabia</t>
  </si>
  <si>
    <t>b14bc7f9-a21c-4a38-8f41-9b065fcd5429</t>
  </si>
  <si>
    <t>generative AI, machine learning</t>
  </si>
  <si>
    <t>Software Engineering, Data Analysis, Statistics, Communication, Business Analysis</t>
  </si>
  <si>
    <t>Seoul</t>
  </si>
  <si>
    <t>a133f80f-7e1c-4bdd-a379-615d0b2dd1fd</t>
  </si>
  <si>
    <t>Software Engineering, Communication, Business Analysis, Cloud Computing</t>
  </si>
  <si>
    <t>Future Solutions</t>
  </si>
  <si>
    <t>Africa</t>
  </si>
  <si>
    <t>South Africa</t>
  </si>
  <si>
    <t>cbdeae41-6b98-426d-9dfc-6c9cfdbab188</t>
  </si>
  <si>
    <t>NLP, machine learning, MLOps</t>
  </si>
  <si>
    <t>Communication, Software Engineering, Statistics, Cloud Computing, Data Analysis</t>
  </si>
  <si>
    <t>Tokyo</t>
  </si>
  <si>
    <t>Southeast Asia</t>
  </si>
  <si>
    <t>b1eeba87-c947-488c-9e87-f470ddf09a41</t>
  </si>
  <si>
    <t>deep learning, machine learning</t>
  </si>
  <si>
    <t>Project Management, Python, Statistics, Business Analysis</t>
  </si>
  <si>
    <t>Small</t>
  </si>
  <si>
    <t>Prime Solutions</t>
  </si>
  <si>
    <t>Italy</t>
  </si>
  <si>
    <t>370d74e4-898b-4938-a5b6-66b6ecb962cc</t>
  </si>
  <si>
    <t>reinforcement learning, NLP</t>
  </si>
  <si>
    <t>Communication, Research, Project Management, Data Analysis, Business Analysis</t>
  </si>
  <si>
    <t>Agriculture</t>
  </si>
  <si>
    <t>ccc88eaf-7103-4d85-a2b9-8aca8654595f</t>
  </si>
  <si>
    <t>NLP, reinforcement learning, generative AI</t>
  </si>
  <si>
    <t>Statistics, Software Engineering, SQL, Python</t>
  </si>
  <si>
    <t>2d864835-dea1-4473-9876-73d36153e487</t>
  </si>
  <si>
    <t>Software Engineering, Data Analysis, Communication, Cloud Computing, Python</t>
  </si>
  <si>
    <t>London</t>
  </si>
  <si>
    <t>Peru</t>
  </si>
  <si>
    <t>1727ad9c-f0ea-4f8d-aa8a-1c53991d05f3</t>
  </si>
  <si>
    <t>machine learning</t>
  </si>
  <si>
    <t>Statistics, Business Analysis, Python, SQL</t>
  </si>
  <si>
    <t>Argentina</t>
  </si>
  <si>
    <t>64d614f9-9f57-403e-84a5-fa78d149a908</t>
  </si>
  <si>
    <t>generative AI</t>
  </si>
  <si>
    <t>Cloud Computing, Research, Statistics, Project Management, Software Engineering</t>
  </si>
  <si>
    <t>Prime Systems</t>
  </si>
  <si>
    <t>Japan</t>
  </si>
  <si>
    <t>19fdfa25-8977-4180-88a6-d82fbd5c3ae7</t>
  </si>
  <si>
    <t>reinforcement learning, deep learning, computer vision, LLMs</t>
  </si>
  <si>
    <t>Software Engineering, Research, Communication, Statistics, Python</t>
  </si>
  <si>
    <t>India</t>
  </si>
  <si>
    <t>114e5b67-91de-416a-959d-bb6e95307bec</t>
  </si>
  <si>
    <t>Statistics, Research, Software Engineering, Communication</t>
  </si>
  <si>
    <t>Nepal</t>
  </si>
  <si>
    <t>ad716f69-d9cf-486e-a2aa-bc72e10ddd67</t>
  </si>
  <si>
    <t>Business Analysis, Software Engineering, Statistics, Data Analysis, Cloud Computing, Communication</t>
  </si>
  <si>
    <t>France</t>
  </si>
  <si>
    <t>dab15c77-9226-42bd-ad95-00e8d5be1691</t>
  </si>
  <si>
    <t>computer vision</t>
  </si>
  <si>
    <t>SQL, Communication, Research, Cloud Computing, Statistics</t>
  </si>
  <si>
    <t>New Zealand</t>
  </si>
  <si>
    <t>d3f62e08-655a-412c-b9a3-e7ed67b18e45</t>
  </si>
  <si>
    <t>Data Analysis, Business Analysis, Research, Cloud Computing, SQL, Python</t>
  </si>
  <si>
    <t>1b22f824-4672-41e1-9503-1ab3d3d8802d</t>
  </si>
  <si>
    <t>SQL, Python, Software Engineering</t>
  </si>
  <si>
    <t>United States</t>
  </si>
  <si>
    <t>ba356fbb-881a-454e-9718-6ab473e179db</t>
  </si>
  <si>
    <t>Communication, Software Engineering, Python</t>
  </si>
  <si>
    <t>Retail</t>
  </si>
  <si>
    <t>33df696c-75ad-49c9-9755-bcfdf1df4680</t>
  </si>
  <si>
    <t>Data Analysis, Project Management, Software Engineering, Research, Business Analysis</t>
  </si>
  <si>
    <t>Lagos</t>
  </si>
  <si>
    <t>Philippines</t>
  </si>
  <si>
    <t>f6f2df0f-8b9c-453c-b282-354f8d2423c6</t>
  </si>
  <si>
    <t>generative AI, MLOps, deep learning</t>
  </si>
  <si>
    <t>SQL, Data Analysis, Business Analysis, Statistics</t>
  </si>
  <si>
    <t>bc8fcf84-d21a-40d9-ad13-c4941273a84d</t>
  </si>
  <si>
    <t>Project Management, Business Analysis, SQL, Python, Software Engineering</t>
  </si>
  <si>
    <t>982082d3-6604-4928-8616-2331165bb039</t>
  </si>
  <si>
    <t>NLP, deep learning</t>
  </si>
  <si>
    <t>Python, Business Analysis, Research</t>
  </si>
  <si>
    <t>a0a54037-afd9-464b-b1e9-15126c131de1</t>
  </si>
  <si>
    <t>generative AI, NLP, MLOps, machine learning</t>
  </si>
  <si>
    <t>Business Analysis, SQL, Software Engineering, Python</t>
  </si>
  <si>
    <t>d94ac113-e074-4857-a327-7c4557cfc42a</t>
  </si>
  <si>
    <t>machine learning, NLP</t>
  </si>
  <si>
    <t>Statistics, Software Engineering, Data Analysis</t>
  </si>
  <si>
    <t>4568bead-24e8-4316-905f-268770635f83</t>
  </si>
  <si>
    <t>Data Analysis, SQL, Python, Statistics, Communication, Research</t>
  </si>
  <si>
    <t>8b8e559c-1af0-4478-ac75-836627fa270e</t>
  </si>
  <si>
    <t>LLMs</t>
  </si>
  <si>
    <t>Project Management, Data Analysis, Business Analysis, Communication, Software Engineering, SQL</t>
  </si>
  <si>
    <t>5a8ff594-4415-487c-a8d8-a72ebdcc3bd8</t>
  </si>
  <si>
    <t>Business Analysis, Software Engineering, Statistics, Python, Project Management, SQL</t>
  </si>
  <si>
    <t>7bb366ac-05d4-4277-9735-442616c007ab</t>
  </si>
  <si>
    <t>Data Analysis, Cloud Computing, Business Analysis, Project Management, Statistics, Communication</t>
  </si>
  <si>
    <t>cdfa9da7-4a33-4786-96b8-f3f2cbb4639b</t>
  </si>
  <si>
    <t>deep learning, NLP</t>
  </si>
  <si>
    <t>Communication, Project Management, Research, Data Analysis, Cloud Computing, Software Engineering</t>
  </si>
  <si>
    <t>e1c83516-2637-4542-aee5-8c4c4c22721d</t>
  </si>
  <si>
    <t>MLOps, deep learning, NLP</t>
  </si>
  <si>
    <t>Communication, Cloud Computing, Statistics, Project Management, SQL</t>
  </si>
  <si>
    <t>e57a3c91-6387-49bf-9728-15b29d31c6b3</t>
  </si>
  <si>
    <t>Data Analysis, Research, Cloud Computing</t>
  </si>
  <si>
    <t>Qatar</t>
  </si>
  <si>
    <t>43c2bbe8-d84a-4ae2-8e18-a63cd2c2fab6</t>
  </si>
  <si>
    <t>computer vision, machine learning, MLOps, NLP</t>
  </si>
  <si>
    <t>Statistics, Research, Python</t>
  </si>
  <si>
    <t>Toronto</t>
  </si>
  <si>
    <t>Israel</t>
  </si>
  <si>
    <t>88aea0ef-cf1d-4ae4-b948-48945430c352</t>
  </si>
  <si>
    <t>SQL, Business Analysis, Data Analysis</t>
  </si>
  <si>
    <t>82d53351-9a02-4448-bcaa-eeb6b8e1e344</t>
  </si>
  <si>
    <t>SQL, Statistics, Research</t>
  </si>
  <si>
    <t>19dfb9bc-68df-475b-b702-acbb7709172e</t>
  </si>
  <si>
    <t>LLMs, deep learning, reinforcement learning</t>
  </si>
  <si>
    <t>Project Management, Software Engineering, Data Analysis, Business Analysis, Cloud Computing</t>
  </si>
  <si>
    <t>0e2df72f-2c8e-47a3-ba10-05e38e420632</t>
  </si>
  <si>
    <t>Project Management, Research, Cloud Computing</t>
  </si>
  <si>
    <t>41e9f099-46f4-461c-8ffc-5bddedd9d9ef</t>
  </si>
  <si>
    <t>reinforcement learning, LLMs, MLOps, generative AI</t>
  </si>
  <si>
    <t>Statistics, Research, Business Analysis</t>
  </si>
  <si>
    <t>Nigeria</t>
  </si>
  <si>
    <t>7af8b6fd-6ae9-40e1-8f43-d25ee31985ee</t>
  </si>
  <si>
    <t>Software Engineering, Project Management, Statistics</t>
  </si>
  <si>
    <t>Malaysia</t>
  </si>
  <si>
    <t>96e7e9ad-7234-4ce0-90b9-2a94413672d6</t>
  </si>
  <si>
    <t>Statistics, Software Engineering, Project Management, Business Analysis, Python</t>
  </si>
  <si>
    <t>322ec66a-5ec4-4286-8a51-324bc6296e54</t>
  </si>
  <si>
    <t>MLOps</t>
  </si>
  <si>
    <t>Statistics, Research, Cloud Computing, Data Analysis, Python</t>
  </si>
  <si>
    <t>df950038-dfe2-4fed-bda9-75878d9d4ac9</t>
  </si>
  <si>
    <t>LLMs, NLP, reinforcement learning, MLOps</t>
  </si>
  <si>
    <t>Research, Business Analysis, Statistics, Communication</t>
  </si>
  <si>
    <t>Egypt</t>
  </si>
  <si>
    <t>f4d0a8cf-60eb-492a-b4e5-d814dae3e308</t>
  </si>
  <si>
    <t>reinforcement learning, deep learning, generative AI</t>
  </si>
  <si>
    <t>Python, Research, Statistics, Cloud Computing, Business Analysis</t>
  </si>
  <si>
    <t>4eb068d5-4d51-40c6-a82e-f76c4b57325b</t>
  </si>
  <si>
    <t>Cloud Computing, Business Analysis, Statistics, Data Analysis</t>
  </si>
  <si>
    <t>b7a45550-d0ce-4534-8aff-9a4b9cd26320</t>
  </si>
  <si>
    <t>MLOps, computer vision, reinforcement learning, generative AI</t>
  </si>
  <si>
    <t>Project Management, Statistics, Cloud Computing, SQL</t>
  </si>
  <si>
    <t>15925b6f-a784-48b4-a97c-d983d3ed41d2</t>
  </si>
  <si>
    <t>Cloud Computing, Python, Data Analysis, Business Analysis</t>
  </si>
  <si>
    <t>ab43c559-79ca-4640-aa80-5ef4513d85fd</t>
  </si>
  <si>
    <t>SQL, Research, Statistics, Python</t>
  </si>
  <si>
    <t>f0773c84-8832-4060-8a80-85f0c8bba812</t>
  </si>
  <si>
    <t>Business Analysis, SQL, Python, Project Management</t>
  </si>
  <si>
    <t>5893a551-cc7e-4911-9f7d-320132a2ba4b</t>
  </si>
  <si>
    <t>LLMs, machine learning</t>
  </si>
  <si>
    <t>Research, Statistics, Python, Business Analysis, Communication</t>
  </si>
  <si>
    <t>afa278bd-bd0d-4071-9ac9-8ed98bd1f841</t>
  </si>
  <si>
    <t>Python, Cloud Computing, Business Analysis, Data Analysis</t>
  </si>
  <si>
    <t>e4ff0933-adc2-4a48-b786-47487bfde1cb</t>
  </si>
  <si>
    <t>Project Management, Communication, Cloud Computing, Business Analysis, Statistics, SQL</t>
  </si>
  <si>
    <t>Sweden</t>
  </si>
  <si>
    <t>41520b5c-e9dc-4389-8e60-c4031dd70240</t>
  </si>
  <si>
    <t>Software Engineering, Business Analysis, Statistics, SQL, Project Management, Communication</t>
  </si>
  <si>
    <t>7addb9b0-a802-4f58-bbea-3df931fdf060</t>
  </si>
  <si>
    <t>Cloud Computing, Python, Research, Data Analysis</t>
  </si>
  <si>
    <t>6687d3f5-209b-436c-8328-c575fb39d481</t>
  </si>
  <si>
    <t>deep learning, MLOps, computer vision</t>
  </si>
  <si>
    <t>Communication, Business Analysis, SQL, Research, Data Analysis</t>
  </si>
  <si>
    <t>729f4003-da4e-4bbf-ae66-3456c18bbdc2</t>
  </si>
  <si>
    <t>LLMs, computer vision</t>
  </si>
  <si>
    <t>Research, Business Analysis, SQL</t>
  </si>
  <si>
    <t>ae57566e-fb55-4567-83b3-1e9058069869</t>
  </si>
  <si>
    <t>computer vision, NLP, MLOps</t>
  </si>
  <si>
    <t>Statistics, Research, Software Engineering, Project Management, Python, SQL</t>
  </si>
  <si>
    <t>Jordan</t>
  </si>
  <si>
    <t>8dd1bce3-ab19-4c1f-a886-a3eea77a7577</t>
  </si>
  <si>
    <t>Software Engineering, Cloud Computing, Research, Business Analysis</t>
  </si>
  <si>
    <t>0d268963-d157-44b0-9349-a7d0c2b0b75a</t>
  </si>
  <si>
    <t>machine learning, reinforcement learning</t>
  </si>
  <si>
    <t>Python, Business Analysis, Data Analysis</t>
  </si>
  <si>
    <t>United Kingdom</t>
  </si>
  <si>
    <t>0bfc5a5e-cfce-4bbd-94bc-92049b7909bc</t>
  </si>
  <si>
    <t>Communication, Research, Project Management, Python, Data Analysis, SQL</t>
  </si>
  <si>
    <t>6c5a8389-a21d-4e67-bf3b-ee71997b898d</t>
  </si>
  <si>
    <t>Research, Business Analysis, Data Analysis, Project Management, SQL, Cloud Computing</t>
  </si>
  <si>
    <t>0c5f23e8-043f-4b3f-86f9-dfbf8463ea5d</t>
  </si>
  <si>
    <t>NLP, generative AI, computer vision, reinforcement learning</t>
  </si>
  <si>
    <t>Python, Cloud Computing, Project Management, SQL, Software Engineering</t>
  </si>
  <si>
    <t>b95661dd-1997-4481-a3c0-a2432ce5f24c</t>
  </si>
  <si>
    <t>NLP, deep learning, machine learning</t>
  </si>
  <si>
    <t>Research, Project Management, Communication</t>
  </si>
  <si>
    <t>Ghana</t>
  </si>
  <si>
    <t>acbf21c9-67d7-4e21-bbc5-2b8919139936</t>
  </si>
  <si>
    <t>Business Analysis, Communication, Statistics, SQL, Project Management</t>
  </si>
  <si>
    <t>520fa5d4-1719-415f-a019-f73266e08506</t>
  </si>
  <si>
    <t>computer vision, machine learning, deep learning, reinforcement learning</t>
  </si>
  <si>
    <t>Python, Software Engineering, Statistics, Research, Cloud Computing, Business Analysis</t>
  </si>
  <si>
    <t>Vietnam</t>
  </si>
  <si>
    <t>86ee0c22-32e9-4782-9f05-ec5e5d2b7f1f</t>
  </si>
  <si>
    <t>Statistics, Research, Software Engineering, SQL</t>
  </si>
  <si>
    <t>790537cb-67d8-4e8d-9555-82b26b6d448f</t>
  </si>
  <si>
    <t>Cloud Computing, Business Analysis, Research</t>
  </si>
  <si>
    <t>07debfaa-e341-409b-a741-0a784eb93cc3</t>
  </si>
  <si>
    <t>Data Analysis, Statistics, Business Analysis</t>
  </si>
  <si>
    <t>Morocco</t>
  </si>
  <si>
    <t>43c22992-000c-4cbd-95fd-84b109c017aa</t>
  </si>
  <si>
    <t>Cloud Computing, Software Engineering, Python, Statistics</t>
  </si>
  <si>
    <t>19d2b3fc-02a9-4ac5-9e2c-d9d917c332c0</t>
  </si>
  <si>
    <t>Software Engineering, Statistics, Cloud Computing, Data Analysis, Research, Project Management</t>
  </si>
  <si>
    <t>Germany</t>
  </si>
  <si>
    <t>cf85193a-e057-467d-b769-3bb4ace39c71</t>
  </si>
  <si>
    <t>generative AI, LLMs, reinforcement learning, NLP</t>
  </si>
  <si>
    <t>Communication, Project Management, Research, Business Analysis, Python</t>
  </si>
  <si>
    <t>3138ffec-5aea-4b48-8716-8611366cb3d5</t>
  </si>
  <si>
    <t>generative AI, deep learning, computer vision, MLOps</t>
  </si>
  <si>
    <t>Business Analysis, Communication, SQL, Cloud Computing, Data Analysis, Statistics</t>
  </si>
  <si>
    <t>b5bd63db-dc63-4d9e-b06d-c343947c2e17</t>
  </si>
  <si>
    <t>Python, Software Engineering, Business Analysis, Research, Project Management</t>
  </si>
  <si>
    <t>54293d99-c003-41bb-bf19-0ff9651c419c</t>
  </si>
  <si>
    <t>deep learning, MLOps, generative AI, reinforcement learning</t>
  </si>
  <si>
    <t>Research, Python, SQL</t>
  </si>
  <si>
    <t>f5c5d25a-a3fb-4e71-aebf-bad96a75a192</t>
  </si>
  <si>
    <t>Research, SQL, Project Management, Python</t>
  </si>
  <si>
    <t>fd8ad70f-34c6-4f90-a378-74012812d683</t>
  </si>
  <si>
    <t>computer vision, deep learning, machine learning, generative AI</t>
  </si>
  <si>
    <t>Software Engineering, Python, Project Management, Cloud Computing, Data Analysis</t>
  </si>
  <si>
    <t>Chile</t>
  </si>
  <si>
    <t>9a11079e-1ff1-483a-a916-a38bcb4c1c15</t>
  </si>
  <si>
    <t>Research, Python, Business Analysis, Statistics, Data Analysis, Project Management</t>
  </si>
  <si>
    <t>894336b8-9c4e-491e-a4ed-a4580ae92633</t>
  </si>
  <si>
    <t>MLOps, machine learning, deep learning, NLP</t>
  </si>
  <si>
    <t>SQL, Python, Business Analysis, Project Management</t>
  </si>
  <si>
    <t>2c7ca8cf-5026-4d3c-b680-b56381fcbd29</t>
  </si>
  <si>
    <t>generative AI, reinforcement learning, computer vision</t>
  </si>
  <si>
    <t>Statistics, Cloud Computing, Project Management, Software Engineering, SQL, Business Analysis</t>
  </si>
  <si>
    <t>4692560a-6f3c-403a-ac2b-c48b98f8cb15</t>
  </si>
  <si>
    <t>NLP, deep learning, LLMs</t>
  </si>
  <si>
    <t>Data Analysis, SQL, Project Management</t>
  </si>
  <si>
    <t>62fd6431-d43a-4842-a8b1-366b8730a8ee</t>
  </si>
  <si>
    <t>deep learning</t>
  </si>
  <si>
    <t>Cloud Computing, Communication, SQL, Business Analysis, Python</t>
  </si>
  <si>
    <t>Mexico</t>
  </si>
  <si>
    <t>8da0577c-ee09-44b1-8e39-7225d6c0a185</t>
  </si>
  <si>
    <t>Statistics, Python, Software Engineering</t>
  </si>
  <si>
    <t>33b80c1d-a55b-46df-9754-646c89729da7</t>
  </si>
  <si>
    <t>reinforcement learning, computer vision, deep learning</t>
  </si>
  <si>
    <t>SQL, Project Management, Research, Data Analysis</t>
  </si>
  <si>
    <t>d8ba12de-ac30-4eb0-85cb-f6d8f5b94a39</t>
  </si>
  <si>
    <t>Research, Cloud Computing, Communication, Data Analysis, Software Engineering, SQL</t>
  </si>
  <si>
    <t>9110c2a9-ea9f-4300-a44b-82e12c400b81</t>
  </si>
  <si>
    <t>Data Analysis, Statistics, Cloud Computing</t>
  </si>
  <si>
    <t>Indonesia</t>
  </si>
  <si>
    <t>a129fcfe-5f8d-4d40-934d-3730744e9dce</t>
  </si>
  <si>
    <t>Python, Project Management, Cloud Computing, Business Analysis, Data Analysis</t>
  </si>
  <si>
    <t>0c8c9ae8-f31b-4335-b495-ba3561a87be9</t>
  </si>
  <si>
    <t>Statistics, Communication, Software Engineering, Research</t>
  </si>
  <si>
    <t>7ff4a5d8-b726-4890-bd2b-daf041ca5879</t>
  </si>
  <si>
    <t>reinforcement learning, machine learning, LLMs, MLOps</t>
  </si>
  <si>
    <t>Python, Business Analysis, Data Analysis, Project Management, Statistics</t>
  </si>
  <si>
    <t>b3fba644-8281-4ccb-8c3b-e848a265dd10</t>
  </si>
  <si>
    <t>Cloud Computing, Communication, Business Analysis, Research, Data Analysis, Project Management</t>
  </si>
  <si>
    <t>6a6d611a-8a0e-4044-84cf-9a3ff1d06173</t>
  </si>
  <si>
    <t>deep learning, NLP, reinforcement learning, computer vision</t>
  </si>
  <si>
    <t>Statistics, Business Analysis, Software Engineering, Data Analysis, Communication, Cloud Computing</t>
  </si>
  <si>
    <t>29f19551-5395-4a50-94a0-d01d1146d2a5</t>
  </si>
  <si>
    <t>generative AI, NLP, computer vision, machine learning</t>
  </si>
  <si>
    <t>SQL, Communication, Statistics</t>
  </si>
  <si>
    <t>231c9c80-9ec8-47cd-9e5b-b0a89cfabf97</t>
  </si>
  <si>
    <t>Communication, Research, Project Management</t>
  </si>
  <si>
    <t>3519991e-a894-4c28-bde1-4ea15c0348cc</t>
  </si>
  <si>
    <t>SQL, Statistics, Cloud Computing</t>
  </si>
  <si>
    <t>Poland</t>
  </si>
  <si>
    <t>977ef8f7-4829-4d6a-9388-d8eb42342168</t>
  </si>
  <si>
    <t>deep learning, machine learning, MLOps, computer vision</t>
  </si>
  <si>
    <t>Business Analysis, Software Engineering, Research, Statistics, Project Management, SQL</t>
  </si>
  <si>
    <t>Kenya</t>
  </si>
  <si>
    <t>6a05e909-55be-4cf2-880a-53ddc2393000</t>
  </si>
  <si>
    <t>reinforcement learning, MLOps</t>
  </si>
  <si>
    <t>Communication, Business Analysis, Statistics, Project Management</t>
  </si>
  <si>
    <t>8ae4fbda-b5b8-4996-bacb-aa69d8346a7d</t>
  </si>
  <si>
    <t>MLOps, NLP, reinforcement learning</t>
  </si>
  <si>
    <t>Communication, Python, Cloud Computing, Business Analysis</t>
  </si>
  <si>
    <t>f974eb35-2d30-4114-92e7-a154be414987</t>
  </si>
  <si>
    <t>MLOps, NLP, deep learning, generative AI</t>
  </si>
  <si>
    <t>Python, Communication, Software Engineering, Statistics, Data Analysis</t>
  </si>
  <si>
    <t>0bd9ccb1-86e6-40ec-9afe-81dac9a0a21b</t>
  </si>
  <si>
    <t>SQL, Software Engineering, Communication</t>
  </si>
  <si>
    <t>3b3dad0f-c97a-43c5-8c7e-7a41c3e29486</t>
  </si>
  <si>
    <t>generative AI, MLOps, machine learning</t>
  </si>
  <si>
    <t>Data Analysis, Project Management, Software Engineering</t>
  </si>
  <si>
    <t>7fdcadac-d56e-4f5d-997e-9f23b1397c7b</t>
  </si>
  <si>
    <t>Python, Cloud Computing, Data Analysis, Communication, Business Analysis</t>
  </si>
  <si>
    <t>9b98dbfe-e438-43a4-a305-0ae3ad060733</t>
  </si>
  <si>
    <t>Business Analysis, Software Engineering, Project Management, Statistics</t>
  </si>
  <si>
    <t>d159ab14-d130-4c30-92b0-66c9cead5828</t>
  </si>
  <si>
    <t>Software Engineering, Communication, Python, Research, Statistics, Data Analysis</t>
  </si>
  <si>
    <t>2758afed-f933-441d-a039-6312945f4d36</t>
  </si>
  <si>
    <t>Python, Research, Data Analysis, Communication, Business Analysis</t>
  </si>
  <si>
    <t>3e0e73fe-bf8d-4899-b308-68492f9d74e5</t>
  </si>
  <si>
    <t>Research, Communication, Project Management, Statistics, Business Analysis</t>
  </si>
  <si>
    <t>Thailand</t>
  </si>
  <si>
    <t>3295c9f9-e106-4f6a-af05-593d7f7d87dd</t>
  </si>
  <si>
    <t>NLP, machine learning, computer vision</t>
  </si>
  <si>
    <t>Data Analysis, SQL, Business Analysis</t>
  </si>
  <si>
    <t>8fcc59bb-6c2b-4a54-8cc6-7a5e49501e9d</t>
  </si>
  <si>
    <t>Statistics, Business Analysis, Python, Communication</t>
  </si>
  <si>
    <t>Pakistan</t>
  </si>
  <si>
    <t>5c011160-388e-4964-9858-da35d96d0aac</t>
  </si>
  <si>
    <t>Project Management, Research, Software Engineering, Data Analysis, Communication, Python</t>
  </si>
  <si>
    <t>62a27dc0-d4c5-4e67-be51-914574d982ce</t>
  </si>
  <si>
    <t>Research, Business Analysis, Project Management, SQL, Software Engineering, Data Analysis</t>
  </si>
  <si>
    <t>07520089-afa9-492a-98b5-e0de3e18c93a</t>
  </si>
  <si>
    <t>machine learning, computer vision, NLP</t>
  </si>
  <si>
    <t>Cloud Computing, Business Analysis, Data Analysis</t>
  </si>
  <si>
    <t>b474f496-90d2-4f3d-9455-c7d65b15dee1</t>
  </si>
  <si>
    <t>generative AI, LLMs</t>
  </si>
  <si>
    <t>Python, Project Management, Software Engineering, Research</t>
  </si>
  <si>
    <t>e2b39117-2cdc-4840-8e5f-a9e7e4577a51</t>
  </si>
  <si>
    <t>Python, Statistics, Cloud Computing</t>
  </si>
  <si>
    <t>2036d0ba-21d8-4a11-a6da-fe9529ecf877</t>
  </si>
  <si>
    <t>MLOps, NLP, machine learning, computer vision</t>
  </si>
  <si>
    <t>Business Analysis, Communication, SQL, Project Management</t>
  </si>
  <si>
    <t>7f2b893b-318e-49c7-83d1-a5dbae8b2aff</t>
  </si>
  <si>
    <t>LLMs, computer vision, NLP, deep learning</t>
  </si>
  <si>
    <t>Cloud Computing, Python, Research, Communication, Statistics, Project Management</t>
  </si>
  <si>
    <t>66500a7a-d158-43ec-acdc-7d07fddc7df4</t>
  </si>
  <si>
    <t>Project Management, Data Analysis, SQL, Communication, Research, Python</t>
  </si>
  <si>
    <t>889e9b02-6f5a-4d58-81d7-d340dea22a73</t>
  </si>
  <si>
    <t>MLOps, generative AI, deep learning, reinforcement learning</t>
  </si>
  <si>
    <t>Statistics, Data Analysis, Project Management, Cloud Computing</t>
  </si>
  <si>
    <t>4b36b9e4-2353-4367-98b9-da26f27488f2</t>
  </si>
  <si>
    <t>deep learning, NLP, computer vision, reinforcement learning</t>
  </si>
  <si>
    <t>Data Analysis, Project Management, Statistics</t>
  </si>
  <si>
    <t>5559f1c0-2fc4-417b-a53f-e6c5381ce1a5</t>
  </si>
  <si>
    <t>LLMs, computer vision, generative AI</t>
  </si>
  <si>
    <t>bd042048-8b8c-42d8-81ec-ae3cb6c06494</t>
  </si>
  <si>
    <t>NLP, deep learning, MLOps, machine learning</t>
  </si>
  <si>
    <t>Cloud Computing, Software Engineering, Business Analysis, Data Analysis, Communication, Research</t>
  </si>
  <si>
    <t>9c0a99af-955e-480d-a4e1-e7abf3628631</t>
  </si>
  <si>
    <t>generative AI, machine learning, MLOps, reinforcement learning</t>
  </si>
  <si>
    <t>Business Analysis, Cloud Computing, SQL, Research, Data Analysis</t>
  </si>
  <si>
    <t>7fac1069-7e08-466e-8acf-f563907c2f07</t>
  </si>
  <si>
    <t>Research, Business Analysis, Data Analysis, Cloud Computing, Software Engineering, Communication</t>
  </si>
  <si>
    <t>253f2409-f4de-4ad2-b543-de207d27dfb5</t>
  </si>
  <si>
    <t>MLOps, deep learning</t>
  </si>
  <si>
    <t>Communication, Research, Python, Statistics, Business Analysis</t>
  </si>
  <si>
    <t>b095f7aa-8b8c-4f5d-bf3e-6b1dc06abc95</t>
  </si>
  <si>
    <t>Software Engineering, Statistics, Business Analysis, Communication</t>
  </si>
  <si>
    <t>7d1e8688-3e5d-4214-8f90-2b0c0bae21b8</t>
  </si>
  <si>
    <t>Business Analysis, Statistics, Cloud Computing</t>
  </si>
  <si>
    <t>6f462250-e9fb-41f8-ac1e-c7bfd244e88d</t>
  </si>
  <si>
    <t>Project Management, Data Analysis, Cloud Computing, Communication, SQL</t>
  </si>
  <si>
    <t>4833ff4e-8c1f-403c-86ac-fb2a33998448</t>
  </si>
  <si>
    <t>SQL, Business Analysis, Statistics, Software Engineering, Python, Research</t>
  </si>
  <si>
    <t>34926e85-d669-4099-9b56-23be691daf06</t>
  </si>
  <si>
    <t>Business Analysis, Data Analysis, Project Management</t>
  </si>
  <si>
    <t>5a8a2a0f-d60e-4de5-9358-9a77c4a298fc</t>
  </si>
  <si>
    <t>Software Engineering, Business Analysis, Data Analysis</t>
  </si>
  <si>
    <t>b6b995d3-d2dd-441c-9698-95792b46f9bb</t>
  </si>
  <si>
    <t>generative AI, NLP, MLOps, computer vision</t>
  </si>
  <si>
    <t>Python, Research, Communication</t>
  </si>
  <si>
    <t>165e8e88-3d2d-4bff-a1bf-c8b4d9f4ba4a</t>
  </si>
  <si>
    <t>Research, Communication, Software Engineering, Business Analysis, Python, Project Management</t>
  </si>
  <si>
    <t>c000a38b-24a2-4d70-a28c-ffc5a5a1844f</t>
  </si>
  <si>
    <t>Business Analysis, SQL, Software Engineering, Project Management, Statistics, Python</t>
  </si>
  <si>
    <t>acb99c72-d211-4b37-a64d-837780451a23</t>
  </si>
  <si>
    <t>Data Analysis, Project Management, Cloud Computing, Software Engineering, Statistics, SQL</t>
  </si>
  <si>
    <t>434101a7-1044-4680-9751-61ed85b32cba</t>
  </si>
  <si>
    <t>SQL, Project Management, Cloud Computing</t>
  </si>
  <si>
    <t>65cf0d54-0c52-49c1-ad62-a922898b1541</t>
  </si>
  <si>
    <t>Communication, Research, Python, SQL</t>
  </si>
  <si>
    <t>ea1a6acc-b42b-407c-a210-8215b60b9aef</t>
  </si>
  <si>
    <t>Statistics, Python, Cloud Computing</t>
  </si>
  <si>
    <t>a0ef00a1-747e-4464-91f2-ad164359d829</t>
  </si>
  <si>
    <t>deep learning, LLMs</t>
  </si>
  <si>
    <t>Statistics, Python, Research, Business Analysis, Software Engineering</t>
  </si>
  <si>
    <t>b33e0711-95a0-47cb-b466-a605c826ed79</t>
  </si>
  <si>
    <t>Project Management, Research, Cloud Computing, Data Analysis, SQL, Communication</t>
  </si>
  <si>
    <t>f912497e-bae2-449f-bf18-6a61e793b206</t>
  </si>
  <si>
    <t>computer vision, deep learning, MLOps, LLMs</t>
  </si>
  <si>
    <t>Statistics, Communication, Project Management, Python, Business Analysis, Software Engineering</t>
  </si>
  <si>
    <t>81d0d91e-6f56-4fd6-aae5-49cecebc2959</t>
  </si>
  <si>
    <t>computer vision, reinforcement learning, NLP</t>
  </si>
  <si>
    <t>Python, Project Management, Software Engineering, SQL</t>
  </si>
  <si>
    <t>8d0b1d9a-83e1-4734-9bb1-a1363995445e</t>
  </si>
  <si>
    <t>Business Analysis, Cloud Computing, Software Engineering, Statistics, Data Analysis</t>
  </si>
  <si>
    <t>ace789cd-2bfd-4c01-b5f0-37ce34930726</t>
  </si>
  <si>
    <t>NLP, reinforcement learning, MLOps</t>
  </si>
  <si>
    <t>Communication, Data Analysis, Project Management, Business Analysis</t>
  </si>
  <si>
    <t>6afb3917-d696-4ccc-ad8b-61d5ff99407b</t>
  </si>
  <si>
    <t>Project Management, Communication, Software Engineering, Business Analysis, Python</t>
  </si>
  <si>
    <t>215c51a7-6488-4914-a3cc-e9892102fee3</t>
  </si>
  <si>
    <t>Statistics, Python, Business Analysis, Research, Communication, Project Management</t>
  </si>
  <si>
    <t>fde4baa6-1e47-4f61-854b-96bce5be8e48</t>
  </si>
  <si>
    <t>MLOps, LLMs</t>
  </si>
  <si>
    <t>Communication, Project Management, Data Analysis, Research, Software Engineering, Business Analysis</t>
  </si>
  <si>
    <t>b90cdfa8-9e2c-401e-8bb9-4bcba2e8dae0</t>
  </si>
  <si>
    <t>Statistics, Communication, Project Management, Data Analysis, Cloud Computing, Business Analysis</t>
  </si>
  <si>
    <t>3722711e-ba3c-4ba0-b94e-ce60990102b6</t>
  </si>
  <si>
    <t>Business Analysis, SQL, Research, Software Engineering, Data Analysis, Cloud Computing</t>
  </si>
  <si>
    <t>e521fba1-58f0-4c8d-84fd-ea88314a300e</t>
  </si>
  <si>
    <t>reinforcement learning, generative AI</t>
  </si>
  <si>
    <t>Project Management, Data Analysis, Software Engineering, Statistics, SQL</t>
  </si>
  <si>
    <t>37f870f7-7c48-4815-a796-2f1303f12802</t>
  </si>
  <si>
    <t>Communication, Statistics, SQL, Software Engineering, Business Analysis, Python</t>
  </si>
  <si>
    <t>bde415e7-6fe2-493f-be9f-cb0cb6acf495</t>
  </si>
  <si>
    <t>Data Analysis, Cloud Computing, Statistics, Project Management, Python</t>
  </si>
  <si>
    <t>cb0c4c64-d24d-4780-bd0b-4ec2a1d8fe77</t>
  </si>
  <si>
    <t>MLOps, machine learning</t>
  </si>
  <si>
    <t>Business Analysis, Project Management, Software Engineering</t>
  </si>
  <si>
    <t>a752fd8b-81ad-4882-924a-a588b96049df</t>
  </si>
  <si>
    <t>generative AI, computer vision, reinforcement learning</t>
  </si>
  <si>
    <t>SQL, Project Management, Statistics</t>
  </si>
  <si>
    <t>5a37475e-19d3-4045-b1c0-e2373a5b0ff4</t>
  </si>
  <si>
    <t>LLMs, deep learning</t>
  </si>
  <si>
    <t>Data Analysis, Research, Software Engineering</t>
  </si>
  <si>
    <t>91c003b4-b9b4-4147-8e4f-4a4fe6be2480</t>
  </si>
  <si>
    <t>generative AI, machine learning, MLOps</t>
  </si>
  <si>
    <t>Research, Business Analysis, SQL, Statistics, Python, Software Engineering</t>
  </si>
  <si>
    <t>2ee631b0-f2d9-47d1-a871-309b29cd6f34</t>
  </si>
  <si>
    <t>Communication, Research, Python, SQL, Cloud Computing, Data Analysis</t>
  </si>
  <si>
    <t>3e6c6e8b-039c-4bbe-b8fc-97e604fe74b2</t>
  </si>
  <si>
    <t>SQL, Python, Business Analysis</t>
  </si>
  <si>
    <t>eac76aa3-8e6b-4bd0-bb6b-56a49f3a7f97</t>
  </si>
  <si>
    <t>Software Engineering, Statistics, SQL, Business Analysis</t>
  </si>
  <si>
    <t>70c3843e-ee46-44a3-9d98-16f138f0909e</t>
  </si>
  <si>
    <t>NLP, MLOps, generative AI</t>
  </si>
  <si>
    <t>Research, Project Management, SQL, Software Engineering, Data Analysis, Python</t>
  </si>
  <si>
    <t>cb21038f-e959-4a1b-8abb-9e44c99e3d98</t>
  </si>
  <si>
    <t>Project Management, Python, Business Analysis, SQL, Data Analysis</t>
  </si>
  <si>
    <t>964a3bf2-fe5d-4cee-b39d-db5d8978113d</t>
  </si>
  <si>
    <t>Cloud Computing, Software Engineering, Statistics, Python, Business Analysis, Research</t>
  </si>
  <si>
    <t>f170d667-f808-4972-bd80-9edd03e02dc2</t>
  </si>
  <si>
    <t>deep learning, machine learning, MLOps</t>
  </si>
  <si>
    <t>Cloud Computing, Python, Project Management</t>
  </si>
  <si>
    <t>d4953f2d-8184-459f-90c6-7dc7203cfef0</t>
  </si>
  <si>
    <t>Business Analysis, SQL, Statistics, Project Management, Communication, Python</t>
  </si>
  <si>
    <t>17f313f8-ad7a-42ff-bc83-fa66bb3c8f86</t>
  </si>
  <si>
    <t>generative AI, deep learning, machine learning</t>
  </si>
  <si>
    <t>Business Analysis, Cloud Computing, Software Engineering, Python</t>
  </si>
  <si>
    <t>cfa52362-2b7b-4c34-b97e-fa09be09902b</t>
  </si>
  <si>
    <t>Project Management, SQL, Software Engineering, Business Analysis, Statistics, Cloud Computing</t>
  </si>
  <si>
    <t>fa5b30e4-3868-42b2-a2e5-079df075cd37</t>
  </si>
  <si>
    <t>LLMs, deep learning, machine learning</t>
  </si>
  <si>
    <t>SQL, Software Engineering, Communication, Python, Business Analysis, Statistics</t>
  </si>
  <si>
    <t>63ffa244-386b-41ab-9522-10dde29b8cf5</t>
  </si>
  <si>
    <t>Business Analysis, Statistics, SQL</t>
  </si>
  <si>
    <t>a0e5b68f-9876-45e7-876e-fce5d5afda37</t>
  </si>
  <si>
    <t>computer vision, LLMs, reinforcement learning</t>
  </si>
  <si>
    <t>Project Management, Business Analysis, Research, Statistics, Cloud Computing, Data Analysis</t>
  </si>
  <si>
    <t>84d5ba3a-f9a5-4722-9055-129b073166f6</t>
  </si>
  <si>
    <t>NLP, machine learning, reinforcement learning</t>
  </si>
  <si>
    <t>Communication, Cloud Computing, SQL, Project Management, Data Analysis</t>
  </si>
  <si>
    <t>a125d381-2d23-44f8-9c5c-0f189335a363</t>
  </si>
  <si>
    <t>machine learning, computer vision</t>
  </si>
  <si>
    <t>Project Management, Data Analysis, Research</t>
  </si>
  <si>
    <t>bdef3d2c-85c1-461f-b1b1-b87c8f4328d4</t>
  </si>
  <si>
    <t>SQL, Software Engineering, Research, Communication, Python, Cloud Computing</t>
  </si>
  <si>
    <t>0ad8570d-b863-4df4-baa6-7e1e34a4dfe8</t>
  </si>
  <si>
    <t>Python, Communication, Cloud Computing, SQL</t>
  </si>
  <si>
    <t>fdb35585-129f-4c28-b6af-832ed54baf04</t>
  </si>
  <si>
    <t>Business Analysis, Communication, Python, Cloud Computing</t>
  </si>
  <si>
    <t>7ff49f95-d884-48e2-868b-2b2e77bdf855</t>
  </si>
  <si>
    <t>deep learning, computer vision, reinforcement learning</t>
  </si>
  <si>
    <t>Software Engineering, SQL, Statistics, Business Analysis</t>
  </si>
  <si>
    <t>7fd17fc2-2a6d-4e79-8f0b-f3c60c5bc3f2</t>
  </si>
  <si>
    <t>Project Management, SQL, Cloud Computing, Software Engineering, Business Analysis, Communication</t>
  </si>
  <si>
    <t>2987dd07-bf83-486b-aec6-fdf75327f46e</t>
  </si>
  <si>
    <t>NLP, machine learning, generative AI, MLOps</t>
  </si>
  <si>
    <t>Statistics, Software Engineering, SQL</t>
  </si>
  <si>
    <t>cc9317d1-26f1-443f-b333-b5316bc8afa0</t>
  </si>
  <si>
    <t>deep learning, MLOps</t>
  </si>
  <si>
    <t>Software Engineering, Research, Data Analysis, Project Management, Python, Cloud Computing</t>
  </si>
  <si>
    <t>3dfb6533-febb-41c1-b778-036b48171690</t>
  </si>
  <si>
    <t>reinforcement learning, MLOps, LLMs, NLP</t>
  </si>
  <si>
    <t>Data Analysis, Project Management, Research</t>
  </si>
  <si>
    <t>563ee5a6-b208-4ae2-9509-9a142f77615b</t>
  </si>
  <si>
    <t>MLOps, LLMs, generative AI, computer vision</t>
  </si>
  <si>
    <t>Data Analysis, Project Management, Research, SQL</t>
  </si>
  <si>
    <t>0552b4ac-1331-48d8-b981-6021e2c3f15b</t>
  </si>
  <si>
    <t>Cloud Computing, Business Analysis, Project Management</t>
  </si>
  <si>
    <t>2735f411-fd24-4790-af4c-4cf9c530ce5c</t>
  </si>
  <si>
    <t>Python, Business Analysis, Cloud Computing, Statistics</t>
  </si>
  <si>
    <t>fc676814-aa26-4151-a0fb-1b73394f8d00</t>
  </si>
  <si>
    <t>SQL, Cloud Computing, Software Engineering, Research, Statistics, Data Analysis</t>
  </si>
  <si>
    <t>f0c558f2-b04d-44cc-979d-7fb86aa9ade3</t>
  </si>
  <si>
    <t>SQL, Project Management, Research</t>
  </si>
  <si>
    <t>2cb5ba1f-4ad9-418f-9f8f-a28d291b20a4</t>
  </si>
  <si>
    <t>Statistics, Cloud Computing, Software Engineering</t>
  </si>
  <si>
    <t>7aaf7b46-64b2-4902-9af9-a5460a52fa3f</t>
  </si>
  <si>
    <t>Research, Cloud Computing, Data Analysis, Statistics</t>
  </si>
  <si>
    <t>86b01136-e873-40da-87b4-7dd793bb2049</t>
  </si>
  <si>
    <t>LLMs, NLP</t>
  </si>
  <si>
    <t>Python, Statistics, Business Analysis, Data Analysis, Research, Communication</t>
  </si>
  <si>
    <t>2b4c5bb5-d720-4fdc-b4eb-137b1cf3dad8</t>
  </si>
  <si>
    <t>deep learning, LLMs, MLOps</t>
  </si>
  <si>
    <t>Statistics, SQL, Communication</t>
  </si>
  <si>
    <t>f5e16521-9d1a-4255-b640-3d96f6f16608</t>
  </si>
  <si>
    <t>Data Analysis, Cloud Computing, Business Analysis, Python</t>
  </si>
  <si>
    <t>79c14bb7-a231-4964-8952-0ce95bd0682b</t>
  </si>
  <si>
    <t>generative AI, deep learning, reinforcement learning</t>
  </si>
  <si>
    <t>SQL, Business Analysis, Statistics, Research, Software Engineering</t>
  </si>
  <si>
    <t>a41f1e67-b808-46ef-a32e-a826f13b7bf3</t>
  </si>
  <si>
    <t>Software Engineering, Cloud Computing, Python, Business Analysis, Project Management</t>
  </si>
  <si>
    <t>c43eb502-7458-4d94-b0c5-cc630477600f</t>
  </si>
  <si>
    <t>Research, Software Engineering, Business Analysis</t>
  </si>
  <si>
    <t>654bbe6f-2839-48c5-9d68-17aab20a4904</t>
  </si>
  <si>
    <t>SQL, Cloud Computing, Research, Statistics, Project Management</t>
  </si>
  <si>
    <t>09bdb9b7-3e71-4e27-a2d4-1373b104850f</t>
  </si>
  <si>
    <t>Data Analysis, Business Analysis, Communication, Software Engineering, Project Management, SQL</t>
  </si>
  <si>
    <t>bcf3fde0-b3e8-457f-9b90-fa1716e92bae</t>
  </si>
  <si>
    <t>machine learning, computer vision, MLOps, deep learning</t>
  </si>
  <si>
    <t>Project Management, Cloud Computing, Business Analysis, Python</t>
  </si>
  <si>
    <t>0ad735b7-2a99-47ce-87bb-801ab22f4aa0</t>
  </si>
  <si>
    <t>machine learning, LLMs</t>
  </si>
  <si>
    <t>Python, Project Management, Data Analysis, Statistics, Communication</t>
  </si>
  <si>
    <t>b07d410c-2144-43f2-ba2a-2035587a887e</t>
  </si>
  <si>
    <t>Research, Communication, Business Analysis</t>
  </si>
  <si>
    <t>398869de-3f56-448b-b1c0-5427219701f4</t>
  </si>
  <si>
    <t>Software Engineering, Communication, SQL, Statistics, Research</t>
  </si>
  <si>
    <t>c0882008-a8a2-4e64-afb3-b8dcca86d933</t>
  </si>
  <si>
    <t>MLOps, generative AI, computer vision</t>
  </si>
  <si>
    <t>Software Engineering, Project Management, Python, Cloud Computing, SQL</t>
  </si>
  <si>
    <t>a845a761-b980-4aac-b951-67b267cc6ddb</t>
  </si>
  <si>
    <t>Cloud Computing, Business Analysis, Communication, Research, Statistics, Python</t>
  </si>
  <si>
    <t>393ea1b8-a71e-426f-a5f3-1851c6f62366</t>
  </si>
  <si>
    <t>reinforcement learning, computer vision, NLP, LLMs</t>
  </si>
  <si>
    <t>Cloud Computing, Statistics, Python</t>
  </si>
  <si>
    <t>ad86a954-662d-45b8-966b-a51b61eba8e5</t>
  </si>
  <si>
    <t>Communication, SQL, Data Analysis, Statistics, Business Analysis</t>
  </si>
  <si>
    <t>46b17f71-b9cc-4685-9f77-bfdffd53d6a5</t>
  </si>
  <si>
    <t>computer vision, NLP, generative AI</t>
  </si>
  <si>
    <t>Research, Python, Cloud Computing</t>
  </si>
  <si>
    <t>cacaa822-89ef-43fb-bcc0-7760f249a4be</t>
  </si>
  <si>
    <t>Business Analysis, Project Management, Communication</t>
  </si>
  <si>
    <t>64525812-0910-4a5b-8aec-0646ea84a7d5</t>
  </si>
  <si>
    <t>Software Engineering, Data Analysis, Python, Communication</t>
  </si>
  <si>
    <t>68f51a28-b0b2-4c12-a3ae-3b621b3fceb7</t>
  </si>
  <si>
    <t>Statistics, SQL, Communication, Project Management, Research</t>
  </si>
  <si>
    <t>50e0ca0f-5792-44fa-828b-a7e99e5b8fe9</t>
  </si>
  <si>
    <t>SQL, Software Engineering, Data Analysis</t>
  </si>
  <si>
    <t>a81ff596-a20d-4590-8ef3-deb469fe4e55</t>
  </si>
  <si>
    <t>Python, Research, Communication, Business Analysis, Software Engineering</t>
  </si>
  <si>
    <t>fcde9223-52d9-4065-a4f1-b8331080ca1f</t>
  </si>
  <si>
    <t>Project Management, Cloud Computing, Research</t>
  </si>
  <si>
    <t>88406c13-593a-4001-b464-2fdbe0d85b40</t>
  </si>
  <si>
    <t>MLOps, machine learning, NLP</t>
  </si>
  <si>
    <t>Statistics, Project Management, Business Analysis, Data Analysis</t>
  </si>
  <si>
    <t>2ea24944-47ec-4c1f-b053-9e06c5647ec3</t>
  </si>
  <si>
    <t>Python, Data Analysis, Research, Project Management, Communication, SQL</t>
  </si>
  <si>
    <t>69b370d4-71ef-49e6-9549-98d192b61459</t>
  </si>
  <si>
    <t>computer vision, NLP</t>
  </si>
  <si>
    <t>Software Engineering, Research, Cloud Computing</t>
  </si>
  <si>
    <t>c7007d85-c6f5-4d1f-97aa-8afca73cea6f</t>
  </si>
  <si>
    <t>Business Analysis, Research, Data Analysis, Communication, Cloud Computing, Statistics</t>
  </si>
  <si>
    <t>60aff992-5b8b-45f1-af15-07da6331f2d3</t>
  </si>
  <si>
    <t>Data Analysis, Software Engineering, Research</t>
  </si>
  <si>
    <t>e782d51f-4195-4a0d-b7ae-c114bd4cbeb6</t>
  </si>
  <si>
    <t>SQL, Cloud Computing, Project Management, Business Analysis, Data Analysis</t>
  </si>
  <si>
    <t>3ad98d4e-a6af-4d02-b90c-de7ab94e7430</t>
  </si>
  <si>
    <t>Cloud Computing, Project Management, Python, Statistics</t>
  </si>
  <si>
    <t>e56ee73c-4a94-4b68-a01a-0cb8bce7e9bd</t>
  </si>
  <si>
    <t>Software Engineering, SQL, Communication, Project Management, Business Analysis, Data Analysis</t>
  </si>
  <si>
    <t>c87a5f2c-1a43-4f2a-a394-c5efb617b15d</t>
  </si>
  <si>
    <t>reinforcement learning, machine learning, computer vision</t>
  </si>
  <si>
    <t>Software Engineering, Business Analysis, Statistics</t>
  </si>
  <si>
    <t>82fb2fbd-7641-4390-9696-e3fee09fde90</t>
  </si>
  <si>
    <t>NLP, reinforcement learning</t>
  </si>
  <si>
    <t>Communication, Software Engineering, Statistics, Python</t>
  </si>
  <si>
    <t>53f3221f-8460-47cb-b965-40174b08da5e</t>
  </si>
  <si>
    <t>generative AI, MLOps, LLMs</t>
  </si>
  <si>
    <t>SQL, Software Engineering, Communication, Business Analysis, Statistics</t>
  </si>
  <si>
    <t>a9e7e560-aad6-4384-8636-65d48341e323</t>
  </si>
  <si>
    <t>Communication, Statistics, Research, Project Management, SQL, Software Engineering</t>
  </si>
  <si>
    <t>a5220101-cab6-40a8-9765-717743855892</t>
  </si>
  <si>
    <t>LLMs, MLOps, computer vision, deep learning</t>
  </si>
  <si>
    <t>Business Analysis, Communication, Project Management, Statistics, Python, Cloud Computing</t>
  </si>
  <si>
    <t>0f7bb36d-5515-4a07-8a29-fb053015f91b</t>
  </si>
  <si>
    <t>MLOps, computer vision, machine learning</t>
  </si>
  <si>
    <t>Cloud Computing, Research, Project Management, Statistics, Python</t>
  </si>
  <si>
    <t>34e82377-b16e-4d26-ad5b-08bb5cdb3b69</t>
  </si>
  <si>
    <t>computer vision, LLMs, deep learning</t>
  </si>
  <si>
    <t>Software Engineering, Python, Data Analysis, SQL</t>
  </si>
  <si>
    <t>9825eda2-f942-4b5a-8bc0-4db8d5fefbd7</t>
  </si>
  <si>
    <t>generative AI, reinforcement learning, MLOps, NLP</t>
  </si>
  <si>
    <t>Project Management, Software Engineering, Cloud Computing, Python, Business Analysis</t>
  </si>
  <si>
    <t>ab0392e5-275e-4b93-b037-c15ba57f8651</t>
  </si>
  <si>
    <t>MLOps, deep learning, reinforcement learning</t>
  </si>
  <si>
    <t>Statistics, Research, Software Engineering, Business Analysis, Communication</t>
  </si>
  <si>
    <t>1563989b-aeb7-49d0-9ca1-3a86cd298b67</t>
  </si>
  <si>
    <t>Research, Communication, Software Engineering, Data Analysis, Business Analysis, SQL</t>
  </si>
  <si>
    <t>855486fa-c057-4aee-86b0-9bb7225b3ea0</t>
  </si>
  <si>
    <t>NLP, MLOps, deep learning, LLMs</t>
  </si>
  <si>
    <t>Project Management, Data Analysis, Communication, Software Engineering</t>
  </si>
  <si>
    <t>a2f658d3-ef24-4138-85ad-13e928f95e5c</t>
  </si>
  <si>
    <t>Software Engineering, Research, Python</t>
  </si>
  <si>
    <t>12355a42-c755-4ddd-a535-d64fec63db94</t>
  </si>
  <si>
    <t>reinforcement learning, machine learning, MLOps, deep learning</t>
  </si>
  <si>
    <t>Communication, Software Engineering, Project Management, Statistics, Business Analysis</t>
  </si>
  <si>
    <t>8f971dcf-08ff-49ce-9056-c2d82721d775</t>
  </si>
  <si>
    <t>Software Engineering, SQL, Communication</t>
  </si>
  <si>
    <t>a692710f-dedc-4bd4-a782-484da77ad1e3</t>
  </si>
  <si>
    <t>SQL, Project Management, Cloud Computing, Python</t>
  </si>
  <si>
    <t>fa6a30ec-e3af-4a97-b6fd-e936db8692b3</t>
  </si>
  <si>
    <t>Data Analysis, Software Engineering, Statistics, Business Analysis, Project Management, Cloud Computing</t>
  </si>
  <si>
    <t>01fa10db-1862-4e29-8435-3b03269da4a6</t>
  </si>
  <si>
    <t>Python, Research, Software Engineering, Business Analysis</t>
  </si>
  <si>
    <t>9a6ee917-500d-46f8-8564-9d949ab3e2aa</t>
  </si>
  <si>
    <t>Cloud Computing, Software Engineering, Data Analysis</t>
  </si>
  <si>
    <t>836d5380-a8ee-428a-8379-db789370d282</t>
  </si>
  <si>
    <t>Business Analysis, Project Management, Research, Software Engineering, Python, Data Analysis</t>
  </si>
  <si>
    <t>318a092d-3a2d-4e1e-bedd-ece6e77e5d8a</t>
  </si>
  <si>
    <t>deep learning, MLOps, computer vision, NLP</t>
  </si>
  <si>
    <t>Cloud Computing, Software Engineering, Business Analysis</t>
  </si>
  <si>
    <t>ce972f8e-f663-438a-80d8-8ee548c751eb</t>
  </si>
  <si>
    <t>Cloud Computing, Data Analysis, Statistics, Software Engineering, Python, Research</t>
  </si>
  <si>
    <t>187e3259-ba8f-4169-90e8-83b8a58835c9</t>
  </si>
  <si>
    <t>Software Engineering, Research, Cloud Computing, SQL, Project Management, Python</t>
  </si>
  <si>
    <t>cac4e34d-bbbb-428b-9ab0-5cdea0d440ce</t>
  </si>
  <si>
    <t>computer vision, LLMs, generative AI, machine learning</t>
  </si>
  <si>
    <t>Python, Communication, Business Analysis, Data Analysis</t>
  </si>
  <si>
    <t>43a6a1b5-1262-4791-9eb9-69467733ef19</t>
  </si>
  <si>
    <t>generative AI, reinforcement learning, machine learning</t>
  </si>
  <si>
    <t>SQL, Statistics, Python, Business Analysis</t>
  </si>
  <si>
    <t>98379c4c-d7c4-47f8-b8c7-bf0fd3b1523c</t>
  </si>
  <si>
    <t>machine learning, reinforcement learning, computer vision, LLMs</t>
  </si>
  <si>
    <t>Software Engineering, Data Analysis, Research, Cloud Computing, SQL</t>
  </si>
  <si>
    <t>32e10d4d-75f8-46c6-9e64-7cb07abb8512</t>
  </si>
  <si>
    <t>Communication, Python, Data Analysis, Statistics, Project Management</t>
  </si>
  <si>
    <t>b1154dff-100d-4c85-95af-aa4d2a8553f0</t>
  </si>
  <si>
    <t>Cloud Computing, Project Management, Software Engineering</t>
  </si>
  <si>
    <t>ed4dc655-6442-4951-961e-b8aa97d93b32</t>
  </si>
  <si>
    <t>reinforcement learning, computer vision</t>
  </si>
  <si>
    <t>bce3cc99-aa7c-4c96-a958-e0f9a80f6ec9</t>
  </si>
  <si>
    <t>Software Engineering, Data Analysis, Research</t>
  </si>
  <si>
    <t>bfd6eacf-c7d0-44e2-b127-238e6b620225</t>
  </si>
  <si>
    <t>Statistics, SQL, Cloud Computing, Business Analysis, Python, Communication</t>
  </si>
  <si>
    <t>6e4ebb3c-3f50-425c-98f3-756b7f54188c</t>
  </si>
  <si>
    <t>Software Engineering, Python, SQL</t>
  </si>
  <si>
    <t>d70846cf-75c8-4a54-8f67-c41d7f8cbfa9</t>
  </si>
  <si>
    <t>NLP, computer vision</t>
  </si>
  <si>
    <t>Business Analysis, Research, Software Engineering, Project Management</t>
  </si>
  <si>
    <t>485df1d3-0ef1-4958-a3e5-b46a5c942e49</t>
  </si>
  <si>
    <t>Statistics, Research, SQL</t>
  </si>
  <si>
    <t>44222c73-fa1b-4c2b-8701-91773666f1f6</t>
  </si>
  <si>
    <t>SQL, Cloud Computing, Project Management, Statistics, Python, Business Analysis</t>
  </si>
  <si>
    <t>e90ffa34-e68a-43d1-b3a9-70eb6e22fe22</t>
  </si>
  <si>
    <t>Cloud Computing, Python, SQL, Statistics, Data Analysis, Communication</t>
  </si>
  <si>
    <t>3c78718e-44cd-419b-ac0e-60f0ef07f519</t>
  </si>
  <si>
    <t>LLMs, MLOps, computer vision</t>
  </si>
  <si>
    <t>Data Analysis, Research, Python, Cloud Computing, Software Engineering, Statistics</t>
  </si>
  <si>
    <t>2a16de8f-c89b-48da-8020-e1118408c27e</t>
  </si>
  <si>
    <t>Data Analysis, Project Management, Statistics, Business Analysis, Research</t>
  </si>
  <si>
    <t>7a1e3907-a699-4a0e-a513-fa033cd8d927</t>
  </si>
  <si>
    <t>Business Analysis, SQL, Data Analysis, Python, Communication</t>
  </si>
  <si>
    <t>819e3ccf-4686-4d86-b847-db568a1d95e1</t>
  </si>
  <si>
    <t>Software Engineering, Python, Business Analysis, Data Analysis, Statistics, Project Management</t>
  </si>
  <si>
    <t>cd3daa05-91a7-4e26-bbe7-a955c93ff38e</t>
  </si>
  <si>
    <t>Statistics, Business Analysis, SQL, Project Management, Cloud Computing</t>
  </si>
  <si>
    <t>9357ad9b-1bec-4d4f-8f1f-f16f11d59302</t>
  </si>
  <si>
    <t>Cloud Computing, Research, Data Analysis</t>
  </si>
  <si>
    <t>3eaa8f95-6ada-4e08-ad17-ca924707d66f</t>
  </si>
  <si>
    <t>NLP, machine learning</t>
  </si>
  <si>
    <t>Cloud Computing, Software Engineering, Data Analysis, Research</t>
  </si>
  <si>
    <t>c071e099-c0cb-447d-8f31-9edc02a52539</t>
  </si>
  <si>
    <t>Statistics, Cloud Computing, Communication, Business Analysis</t>
  </si>
  <si>
    <t>5ee36ae5-9073-4362-92c3-617ef09de8de</t>
  </si>
  <si>
    <t>Cloud Computing, Communication, Python</t>
  </si>
  <si>
    <t>7a31da15-c599-4a06-9055-c064850d463f</t>
  </si>
  <si>
    <t>SQL, Python, Statistics</t>
  </si>
  <si>
    <t>a25ed8bc-8dc1-4653-af47-a305c51c0d36</t>
  </si>
  <si>
    <t>Data Analysis, Cloud Computing, Project Management, Statistics, Business Analysis</t>
  </si>
  <si>
    <t>bf18cf99-ce4b-46e8-bcc6-759f84810881</t>
  </si>
  <si>
    <t>Business Analysis, Communication, Software Engineering, SQL, Statistics</t>
  </si>
  <si>
    <t>3a5981c7-c230-4c7c-a71f-babb4c5e7fe5</t>
  </si>
  <si>
    <t>Cloud Computing, Business Analysis, Statistics, Research, Software Engineering, SQL</t>
  </si>
  <si>
    <t>3faf726e-10fb-4b8e-a6db-2d1a0e0cc776</t>
  </si>
  <si>
    <t>Data Analysis, Software Engineering, Business Analysis, SQL, Research, Statistics</t>
  </si>
  <si>
    <t>66b6f163-d1b2-481d-80a5-7379faf6a2a8</t>
  </si>
  <si>
    <t>machine learning, generative AI</t>
  </si>
  <si>
    <t>Data Analysis, Statistics, Research</t>
  </si>
  <si>
    <t>1e40c792-ef9a-43c6-a3e7-e9558870b1fc</t>
  </si>
  <si>
    <t>Cloud Computing, Business Analysis, Research, SQL, Data Analysis</t>
  </si>
  <si>
    <t>2a3e1ba3-8f55-474b-9222-e3f73070b218</t>
  </si>
  <si>
    <t>generative AI, deep learning, MLOps</t>
  </si>
  <si>
    <t>Python, SQL, Software Engineering, Research, Statistics, Business Analysis</t>
  </si>
  <si>
    <t>61dfb867-ad4e-4ed0-b4c7-47bd6e7cb039</t>
  </si>
  <si>
    <t>LLMs, NLP, generative AI</t>
  </si>
  <si>
    <t>Python, Cloud Computing, Business Analysis, SQL, Project Management</t>
  </si>
  <si>
    <t>aaa5c350-4282-4606-96f4-150300f28d9a</t>
  </si>
  <si>
    <t>Python, Statistics, Project Management</t>
  </si>
  <si>
    <t>5dec0cec-1b30-4d55-b580-8ad0589638e5</t>
  </si>
  <si>
    <t>Research, Python, SQL, Cloud Computing, Project Management, Statistics</t>
  </si>
  <si>
    <t>aa31c316-7466-4933-a2d0-21d0f7813c01</t>
  </si>
  <si>
    <t>Software Engineering, Cloud Computing, Business Analysis, Research</t>
  </si>
  <si>
    <t>e1b53035-7dca-4679-8f36-7429edba7419</t>
  </si>
  <si>
    <t>Python, Research, Project Management, Cloud Computing, Software Engineering, Business Analysis</t>
  </si>
  <si>
    <t>3ec9f66b-4712-4d4e-a7b2-920af7424a27</t>
  </si>
  <si>
    <t>reinforcement learning, computer vision, LLMs, NLP</t>
  </si>
  <si>
    <t>Statistics, Python, SQL, Communication</t>
  </si>
  <si>
    <t>b822fa53-71b3-4021-a662-e9b01ef4c10a</t>
  </si>
  <si>
    <t>Business Analysis, Statistics, Data Analysis, Project Management</t>
  </si>
  <si>
    <t>78b154ba-64c4-4914-b2f8-4cc3d8a548ad</t>
  </si>
  <si>
    <t>Statistics, Communication, Python, Data Analysis</t>
  </si>
  <si>
    <t>0a02c623-140a-4aab-b007-69c42ee0b563</t>
  </si>
  <si>
    <t>SQL, Python, Statistics, Communication, Data Analysis</t>
  </si>
  <si>
    <t>ec0dfefc-4f6b-48d9-9aa9-a7a344114447</t>
  </si>
  <si>
    <t>Cloud Computing, Communication, SQL</t>
  </si>
  <si>
    <t>90ff574e-b79a-4ce8-b2ac-34290064b9b6</t>
  </si>
  <si>
    <t>Software Engineering, Data Analysis, Cloud Computing, Project Management</t>
  </si>
  <si>
    <t>9e991d17-85c8-4dad-abca-f4b7bfb16e94</t>
  </si>
  <si>
    <t>Data Analysis, Project Management, Research, Business Analysis</t>
  </si>
  <si>
    <t>712d9095-735c-430b-b869-b96aab339945</t>
  </si>
  <si>
    <t>Python, SQL, Statistics</t>
  </si>
  <si>
    <t>667c1c74-904f-404a-be94-6230f739a087</t>
  </si>
  <si>
    <t>Data Analysis, SQL, Python, Research</t>
  </si>
  <si>
    <t>9793ca47-3ba0-4eb2-81b7-cfeec0645686</t>
  </si>
  <si>
    <t>Data Analysis, Project Management, Cloud Computing, Communication, SQL, Business Analysis</t>
  </si>
  <si>
    <t>7563d1e9-db8d-4ad9-9564-4b51b1e8920c</t>
  </si>
  <si>
    <t>reinforcement learning, NLP, generative AI</t>
  </si>
  <si>
    <t>Statistics, Business Analysis, Software Engineering</t>
  </si>
  <si>
    <t>fbf508c0-3d9b-4e4e-b59c-782413fa53a1</t>
  </si>
  <si>
    <t>MLOps, NLP</t>
  </si>
  <si>
    <t>Business Analysis, Data Analysis, Statistics, SQL</t>
  </si>
  <si>
    <t>6b360c25-2c03-4552-b26e-e59f36823827</t>
  </si>
  <si>
    <t>Business Analysis, Statistics, Data Analysis, Communication, Project Management</t>
  </si>
  <si>
    <t>b1aedfb9-063c-438b-9712-4ed1eb667240</t>
  </si>
  <si>
    <t>Communication, Statistics, Business Analysis, Project Management</t>
  </si>
  <si>
    <t>dda21aa5-01d2-4815-82a3-238f7697676b</t>
  </si>
  <si>
    <t>reinforcement learning, generative AI, machine learning, MLOps</t>
  </si>
  <si>
    <t>Statistics, Research, Cloud Computing, Business Analysis, Communication</t>
  </si>
  <si>
    <t>2ce29a62-7bf8-4b56-a4fb-149dd4a5aebc</t>
  </si>
  <si>
    <t>886e36ba-4763-46b0-81f6-0e1bae4f5fa6</t>
  </si>
  <si>
    <t>Research, Business Analysis, Cloud Computing, Statistics, Project Management, SQL</t>
  </si>
  <si>
    <t>e0d15050-374b-45bd-8659-3852d9b8ad48</t>
  </si>
  <si>
    <t>Project Management, Communication, Research</t>
  </si>
  <si>
    <t>3c7d7e1e-6b15-4b58-ba23-c54fe9a2f3ef</t>
  </si>
  <si>
    <t>Communication, Cloud Computing, Business Analysis, Data Analysis, SQL</t>
  </si>
  <si>
    <t>5b188b97-efe0-4f39-b130-f6cf049cb44e</t>
  </si>
  <si>
    <t>Cloud Computing, Statistics, Project Management</t>
  </si>
  <si>
    <t>e09bf371-16c5-4cb9-b4de-3cb47e089dd5</t>
  </si>
  <si>
    <t>machine learning, MLOps, deep learning, generative AI</t>
  </si>
  <si>
    <t>Research, Statistics, SQL</t>
  </si>
  <si>
    <t>f596a2b8-7f76-4951-9f16-e6ce104dc35b</t>
  </si>
  <si>
    <t>reinforcement learning, MLOps, generative AI, computer vision</t>
  </si>
  <si>
    <t>Business Analysis, Project Management, Research, Communication</t>
  </si>
  <si>
    <t>523e05cc-5159-4570-aee5-ee62d46086ce</t>
  </si>
  <si>
    <t>Data Analysis, SQL, Statistics</t>
  </si>
  <si>
    <t>2350ca12-ddee-4ff5-9946-765bb67798d0</t>
  </si>
  <si>
    <t>Data Analysis, Statistics, Software Engineering, Research, Business Analysis, Python</t>
  </si>
  <si>
    <t>2cb830b2-4030-4ae2-8bc0-dd5c5671e949</t>
  </si>
  <si>
    <t>NLP, MLOps, reinforcement learning, machine learning</t>
  </si>
  <si>
    <t>Business Analysis, Communication, Statistics, Software Engineering</t>
  </si>
  <si>
    <t>a46200a7-bbd1-403b-bcf1-92e2ed21010a</t>
  </si>
  <si>
    <t>Cloud Computing, Statistics, Business Analysis</t>
  </si>
  <si>
    <t>1c401fde-53ae-4e40-9412-1da90b76cf4c</t>
  </si>
  <si>
    <t>SQL, Communication, Research, Python, Software Engineering</t>
  </si>
  <si>
    <t>0e45e106-b9d1-4b06-b4b9-e72c1cc5d491</t>
  </si>
  <si>
    <t>Cloud Computing, SQL, Research, Python</t>
  </si>
  <si>
    <t>4bcaef07-42b5-4b9b-b428-52904722cede</t>
  </si>
  <si>
    <t>Business Analysis, Cloud Computing, SQL</t>
  </si>
  <si>
    <t>2390de51-de59-4ba6-aa31-14aa5a5c6624</t>
  </si>
  <si>
    <t>Data Analysis, Business Analysis, Software Engineering, Research</t>
  </si>
  <si>
    <t>5a21090b-cf58-4191-b25b-f995be251304</t>
  </si>
  <si>
    <t>Data Analysis, Communication, Project Management, SQL, Statistics</t>
  </si>
  <si>
    <t>eeb6aec8-a366-47d9-adfe-30f3cc6fa023</t>
  </si>
  <si>
    <t>SQL, Data Analysis, Statistics, Software Engineering, Communication</t>
  </si>
  <si>
    <t>69e80b9e-9d3c-4520-a9f0-acd3e8042a63</t>
  </si>
  <si>
    <t>Project Management, Python, Communication, Statistics</t>
  </si>
  <si>
    <t>6a1c823b-0d76-4fbe-807b-bbe865249cc5</t>
  </si>
  <si>
    <t>Statistics, Research, Cloud Computing, Data Analysis, Python, Software Engineering</t>
  </si>
  <si>
    <t>89ea6aee-39ca-448e-ae74-1bf56cee1280</t>
  </si>
  <si>
    <t>Software Engineering, Communication, Statistics</t>
  </si>
  <si>
    <t>d7a9c2d7-0069-4254-953a-fafe27434280</t>
  </si>
  <si>
    <t>machine learning, MLOps, generative AI</t>
  </si>
  <si>
    <t>Statistics, Cloud Computing, Business Analysis, SQL</t>
  </si>
  <si>
    <t>b34fc021-a6fc-4643-b9f0-444b52506ca9</t>
  </si>
  <si>
    <t>SQL, Research, Project Management, Cloud Computing</t>
  </si>
  <si>
    <t>e82d1003-1151-44de-bd5e-beaee0764884</t>
  </si>
  <si>
    <t>LLMs, NLP, MLOps, deep learning</t>
  </si>
  <si>
    <t>Cloud Computing, Research, Communication, Python, SQL, Data Analysis</t>
  </si>
  <si>
    <t>d9771c41-36a2-43a4-90c1-68b6e9a33e65</t>
  </si>
  <si>
    <t>Software Engineering, Data Analysis, Python, Research, Communication, Project Management</t>
  </si>
  <si>
    <t>ab4bfed0-6725-4338-90dd-e97f552d9cad</t>
  </si>
  <si>
    <t>Python, Research, Cloud Computing</t>
  </si>
  <si>
    <t>e240d8ee-884c-499a-8c65-502d71c5bca7</t>
  </si>
  <si>
    <t>Statistics, Cloud Computing, Business Analysis, SQL, Software Engineering, Python</t>
  </si>
  <si>
    <t>cfb92793-d986-46fc-8c15-9af346d94e13</t>
  </si>
  <si>
    <t>deep learning, computer vision, NLP, reinforcement learning</t>
  </si>
  <si>
    <t>Project Management, Cloud Computing, Communication</t>
  </si>
  <si>
    <t>a933e9dc-72c5-4c57-9b16-1e15c546b4ba</t>
  </si>
  <si>
    <t>computer vision, reinforcement learning, machine learning, NLP</t>
  </si>
  <si>
    <t>Statistics, Research, Business Analysis, Cloud Computing</t>
  </si>
  <si>
    <t>fc2507f2-bf9f-474b-80dc-5e7826c44110</t>
  </si>
  <si>
    <t>Business Analysis, Python, Software Engineering, Cloud Computing</t>
  </si>
  <si>
    <t>ebc11701-ed58-47c2-9475-817d4f737060</t>
  </si>
  <si>
    <t>Research, Cloud Computing, Project Management, Data Analysis, Statistics</t>
  </si>
  <si>
    <t>29992b87-df59-453b-9ca3-ffd30cc065ea</t>
  </si>
  <si>
    <t>LLMs, reinforcement learning, computer vision, MLOps</t>
  </si>
  <si>
    <t>Project Management, Statistics, Communication, Python, Research, Data Analysis</t>
  </si>
  <si>
    <t>71e3db23-d416-4295-8438-4eb060a1f3d0</t>
  </si>
  <si>
    <t>Cloud Computing, Python, Research</t>
  </si>
  <si>
    <t>4bfe16ba-d263-4d5c-aade-c1a9f408d56c</t>
  </si>
  <si>
    <t>Statistics, Software Engineering, Cloud Computing, Project Management, Business Analysis, Research</t>
  </si>
  <si>
    <t>9878e7ac-8b6a-4394-99d0-3c716fcbb59e</t>
  </si>
  <si>
    <t>machine learning, reinforcement learning, computer vision</t>
  </si>
  <si>
    <t>Data Analysis, Python, Communication, Statistics, Cloud Computing</t>
  </si>
  <si>
    <t>db47b668-33e9-41d2-91d9-baf4c3b3711a</t>
  </si>
  <si>
    <t>machine learning, reinforcement learning, NLP, MLOps</t>
  </si>
  <si>
    <t>Software Engineering, Cloud Computing, Python</t>
  </si>
  <si>
    <t>354747b6-ec05-4c81-9a2d-57c35173ec49</t>
  </si>
  <si>
    <t>Data Analysis, Python, SQL</t>
  </si>
  <si>
    <t>a6badff6-7426-49bd-813b-3f1e2695a396</t>
  </si>
  <si>
    <t>LLMs, MLOps, reinforcement learning, computer vision</t>
  </si>
  <si>
    <t>Communication, Data Analysis, Software Engineering, Python, Research, Project Management</t>
  </si>
  <si>
    <t>78cc628c-515b-4c2e-b7f1-c8c26780ce9a</t>
  </si>
  <si>
    <t>Python, Statistics, Business Analysis</t>
  </si>
  <si>
    <t>cc201996-5223-4212-9ced-d562cf64a633</t>
  </si>
  <si>
    <t>Project Management, Statistics, Data Analysis</t>
  </si>
  <si>
    <t>621b7540-55ff-4ffb-a552-4f8b6fbff048</t>
  </si>
  <si>
    <t>Data Analysis, Python, Project Management, Cloud Computing, Statistics, Communication</t>
  </si>
  <si>
    <t>01e47891-6c7d-4f37-83bc-e297af44a452</t>
  </si>
  <si>
    <t>Software Engineering, Business Analysis, Project Management, SQL, Data Analysis, Cloud Computing</t>
  </si>
  <si>
    <t>d7242d8f-d67a-44bb-be85-84659ba472f7</t>
  </si>
  <si>
    <t>Data Analysis, Research, Project Management, Business Analysis, Cloud Computing, Software Engineering</t>
  </si>
  <si>
    <t>206f45c6-7b5f-43f3-adae-9cbc5c9181ce</t>
  </si>
  <si>
    <t>Business Analysis, Communication, Python, Cloud Computing, Statistics, Software Engineering</t>
  </si>
  <si>
    <t>03c66d53-c183-423d-8992-7e13a2488214</t>
  </si>
  <si>
    <t>SQL, Research, Cloud Computing, Business Analysis, Data Analysis, Statistics</t>
  </si>
  <si>
    <t>49256fde-4009-4207-9847-5bb7e07747e3</t>
  </si>
  <si>
    <t>Research, SQL, Communication, Statistics, Cloud Computing, Project Management</t>
  </si>
  <si>
    <t>0fbadc18-8709-4661-a740-f289994b251c</t>
  </si>
  <si>
    <t>Communication, Project Management, SQL, Software Engineering</t>
  </si>
  <si>
    <t>5a292da4-da9a-4798-86bb-2812a0c4e640</t>
  </si>
  <si>
    <t>Software Engineering, Cloud Computing, Business Analysis, Communication</t>
  </si>
  <si>
    <t>0ab5a734-90aa-4f66-8d12-a4c70b3e60e3</t>
  </si>
  <si>
    <t>Cloud Computing, Data Analysis, Statistics, Business Analysis</t>
  </si>
  <si>
    <t>b73d60ce-01db-4850-8956-b461f12d3fa0</t>
  </si>
  <si>
    <t>generative AI, MLOps</t>
  </si>
  <si>
    <t>Research, SQL, Project Management, Communication, Statistics</t>
  </si>
  <si>
    <t>823e1a74-c251-422d-84d6-d5afa177baac</t>
  </si>
  <si>
    <t>Communication, Research, Data Analysis, Statistics, Software Engineering</t>
  </si>
  <si>
    <t>23f04544-b4d8-4f5b-8ace-10f658b125d7</t>
  </si>
  <si>
    <t>Data Analysis, SQL, Python, Cloud Computing, Business Analysis</t>
  </si>
  <si>
    <t>80204050-b824-46b9-9e4d-3b4b34c8f453</t>
  </si>
  <si>
    <t>Communication, Cloud Computing, Research</t>
  </si>
  <si>
    <t>c891dc0d-efe8-4d5f-a5cc-a0da63ee32fa</t>
  </si>
  <si>
    <t>Software Engineering, Statistics, Communication, Research, Data Analysis</t>
  </si>
  <si>
    <t>c742e6ec-71b8-4432-8c8c-06563a5e3664</t>
  </si>
  <si>
    <t>computer vision, MLOps</t>
  </si>
  <si>
    <t>Business Analysis, Cloud Computing, Statistics, Communication, SQL</t>
  </si>
  <si>
    <t>b22c7197-0445-4013-92d9-a55c43b7a9df</t>
  </si>
  <si>
    <t>Software Engineering, Data Analysis, Communication</t>
  </si>
  <si>
    <t>52901d77-fab7-4796-a94a-987996925a8c</t>
  </si>
  <si>
    <t>Business Analysis, Software Engineering, Project Management, Communication, Research</t>
  </si>
  <si>
    <t>eda6ab8d-7af1-42cc-bef7-050ac19f1b41</t>
  </si>
  <si>
    <t>SQL, Cloud Computing, Business Analysis, Communication</t>
  </si>
  <si>
    <t>d58652c4-40eb-4453-aa3c-73c594dea4d4</t>
  </si>
  <si>
    <t>Communication, Cloud Computing, Statistics, Python, Data Analysis</t>
  </si>
  <si>
    <t>b9421e71-d62c-466e-9441-1db0a858ae5a</t>
  </si>
  <si>
    <t>machine learning, NLP, reinforcement learning, MLOps</t>
  </si>
  <si>
    <t>Project Management, Cloud Computing, Software Engineering, Data Analysis, Research</t>
  </si>
  <si>
    <t>1e0f0e70-e9b6-49ec-847c-1acbc3039dab</t>
  </si>
  <si>
    <t>Communication, Research, Project Management, Cloud Computing</t>
  </si>
  <si>
    <t>96bc1f3e-046e-4c80-a417-aba60fcb3230</t>
  </si>
  <si>
    <t>deep learning, machine learning, MLOps, NLP</t>
  </si>
  <si>
    <t>Software Engineering, Communication, Statistics, Cloud Computing, Project Management</t>
  </si>
  <si>
    <t>019c1a18-4831-4c10-bf45-d34acf8db4e0</t>
  </si>
  <si>
    <t>Project Management, Communication, Business Analysis</t>
  </si>
  <si>
    <t>73c29cda-0407-4ba5-8e1d-6bfbf6a3e6ca</t>
  </si>
  <si>
    <t>Statistics, Software Engineering, Business Analysis</t>
  </si>
  <si>
    <t>af2203b3-4e6f-475c-9bd5-1b042a57d9ec</t>
  </si>
  <si>
    <t>Business Analysis, Research, Cloud Computing, Statistics, Communication, Data Analysis</t>
  </si>
  <si>
    <t>05e4375a-339a-4210-bf4d-a35d6fcb5293</t>
  </si>
  <si>
    <t>NLP, computer vision, MLOps</t>
  </si>
  <si>
    <t>Data Analysis, Python, Business Analysis, Cloud Computing, Project Management</t>
  </si>
  <si>
    <t>5f7b52e2-9d87-4443-baa4-d10541f34ad8</t>
  </si>
  <si>
    <t>Statistics, Business Analysis, Communication, Python, Software Engineering</t>
  </si>
  <si>
    <t>a3db34d0-3a6a-46ae-a0b3-ba7f7c2abab6</t>
  </si>
  <si>
    <t>Software Engineering, Project Management, Business Analysis, Data Analysis, Research</t>
  </si>
  <si>
    <t>5fb96599-5f75-4df7-b3d4-463231434eaa</t>
  </si>
  <si>
    <t>Statistics, Data Analysis, SQL, Software Engineering, Business Analysis, Cloud Computing</t>
  </si>
  <si>
    <t>c0d57fc9-ccb8-424c-b3a3-960678589b1a</t>
  </si>
  <si>
    <t>Research, Project Management, Data Analysis</t>
  </si>
  <si>
    <t>999dad3f-0078-4def-9a18-55cdd1b1e8b0</t>
  </si>
  <si>
    <t>Statistics, Cloud Computing, Python, SQL, Data Analysis, Communication</t>
  </si>
  <si>
    <t>d10ee7fe-b264-4da5-98cc-bbb55bc3d14e</t>
  </si>
  <si>
    <t>Statistics, Research, SQL, Business Analysis, Project Management, Software Engineering</t>
  </si>
  <si>
    <t>70a44bc6-1e9c-4f33-bfc6-251db3a1cc0d</t>
  </si>
  <si>
    <t>Statistics, SQL, Data Analysis, Software Engineering, Python</t>
  </si>
  <si>
    <t>ff0d1b0d-1e1d-468f-ab7d-de988c041f38</t>
  </si>
  <si>
    <t>Communication, Project Management, Research, Software Engineering, Cloud Computing</t>
  </si>
  <si>
    <t>4d6d8e1e-04ad-4c98-bd6f-2e3221418840</t>
  </si>
  <si>
    <t>Python, Software Engineering, Cloud Computing, Data Analysis</t>
  </si>
  <si>
    <t>3510572a-d427-47f3-ac56-6928785500ee</t>
  </si>
  <si>
    <t>Project Management, Data Analysis, Cloud Computing</t>
  </si>
  <si>
    <t>ce6e063c-9b60-4a17-acb2-523a7679bc98</t>
  </si>
  <si>
    <t>Statistics, Data Analysis, Cloud Computing, Business Analysis</t>
  </si>
  <si>
    <t>bdab0f53-eceb-4bf8-81b1-075656f15b35</t>
  </si>
  <si>
    <t>generative AI, NLP, reinforcement learning, computer vision</t>
  </si>
  <si>
    <t>Communication, Research, Data Analysis, Statistics</t>
  </si>
  <si>
    <t>64c1b580-587a-4e07-8545-f252165df989</t>
  </si>
  <si>
    <t>Cloud Computing, Python, SQL, Statistics, Communication</t>
  </si>
  <si>
    <t>4354083c-4873-4836-841c-d0bb9ac7d0b3</t>
  </si>
  <si>
    <t>Data Analysis, Research, Business Analysis, SQL, Statistics, Software Engineering</t>
  </si>
  <si>
    <t>bfd97dc0-455f-4553-8111-1e67d5355ec3</t>
  </si>
  <si>
    <t>Communication, Research, Software Engineering, Project Management, Business Analysis</t>
  </si>
  <si>
    <t>9a2124ed-634e-4002-b7af-21e5a15bf1bd</t>
  </si>
  <si>
    <t>deep learning, reinforcement learning</t>
  </si>
  <si>
    <t>SQL, Data Analysis, Cloud Computing, Business Analysis</t>
  </si>
  <si>
    <t>f4b19352-95de-4036-b6f5-48b37182702c</t>
  </si>
  <si>
    <t>Python, Business Analysis, Project Management</t>
  </si>
  <si>
    <t>056f0db0-d290-46bf-bffb-4a2aedef6149</t>
  </si>
  <si>
    <t>Business Analysis, Cloud Computing, Python, Data Analysis, Software Engineering</t>
  </si>
  <si>
    <t>2af49985-8bb5-4b54-89bf-59f5874a7458</t>
  </si>
  <si>
    <t>NLP, computer vision, deep learning</t>
  </si>
  <si>
    <t>Communication, Cloud Computing, Software Engineering, SQL, Data Analysis</t>
  </si>
  <si>
    <t>b4f78698-32d7-4050-a374-32dcd30dc803</t>
  </si>
  <si>
    <t>Python, SQL, Project Management</t>
  </si>
  <si>
    <t>33380397-0e46-4b42-8c8f-0bcab4b9c18f</t>
  </si>
  <si>
    <t>Cloud Computing, Communication, Statistics</t>
  </si>
  <si>
    <t>fb534a77-53fb-4f95-8605-728c0a4169b8</t>
  </si>
  <si>
    <t>Research, Project Management, Cloud Computing</t>
  </si>
  <si>
    <t>d1f027fe-d7d1-4024-b155-b20e5dd13142</t>
  </si>
  <si>
    <t>Data Analysis, Cloud Computing, Project Management, Business Analysis, Python</t>
  </si>
  <si>
    <t>76f0a957-cf1e-40fb-8852-82938eae9c28</t>
  </si>
  <si>
    <t>NLP, MLOps, computer vision, reinforcement learning</t>
  </si>
  <si>
    <t>Communication, Data Analysis, Cloud Computing</t>
  </si>
  <si>
    <t>141896ce-6d0b-47fd-a64f-f911865282df</t>
  </si>
  <si>
    <t>Cloud Computing, Project Management, Communication, Research, Data Analysis, Python</t>
  </si>
  <si>
    <t>2ce4836a-cd8b-4dac-a736-b5cc2306fd2c</t>
  </si>
  <si>
    <t>Project Management, Data Analysis, SQL, Python, Communication</t>
  </si>
  <si>
    <t>d013ea9c-d76f-4fc5-9632-273795a0cd38</t>
  </si>
  <si>
    <t>Research, Cloud Computing, Project Management, Python, SQL, Business Analysis</t>
  </si>
  <si>
    <t>45c8c527-d4b1-4f61-89b4-1f686ea25f65</t>
  </si>
  <si>
    <t>Cloud Computing, Software Engineering, SQL, Project Management, Statistics</t>
  </si>
  <si>
    <t>8eccd5fa-f330-44d6-8522-91f2f0470d0c</t>
  </si>
  <si>
    <t>Statistics, Business Analysis, Cloud Computing</t>
  </si>
  <si>
    <t>09bc5457-bb11-4fa5-b074-38c7cf42db43</t>
  </si>
  <si>
    <t>Research, Communication, Project Management, Cloud Computing, Software Engineering</t>
  </si>
  <si>
    <t>930abf28-2517-4a4d-94a7-1504aabcfc8e</t>
  </si>
  <si>
    <t>SQL, Business Analysis, Research, Python, Communication</t>
  </si>
  <si>
    <t>2ddfca7d-84b9-43e1-9383-e33d940a43c4</t>
  </si>
  <si>
    <t>Software Engineering, Business Analysis, SQL, Statistics</t>
  </si>
  <si>
    <t>d6b4e3bd-2a5d-4c4a-944f-19000545c741</t>
  </si>
  <si>
    <t>Business Analysis, SQL, Python, Software Engineering, Project Management, Cloud Computing</t>
  </si>
  <si>
    <t>de6a9643-a728-4a59-ae06-f43a9601db63</t>
  </si>
  <si>
    <t>Communication, Project Management, Data Analysis, SQL, Python</t>
  </si>
  <si>
    <t>ed82dfbf-6003-4bea-9b2a-00f7de5c1a23</t>
  </si>
  <si>
    <t>Project Management, SQL, Cloud Computing, Business Analysis, Data Analysis, Python</t>
  </si>
  <si>
    <t>a6d4b794-50ee-441b-a49f-8e30a185dc6e</t>
  </si>
  <si>
    <t>deep learning, NLP, MLOps</t>
  </si>
  <si>
    <t>Software Engineering, Project Management, Cloud Computing, Business Analysis</t>
  </si>
  <si>
    <t>a004f96a-24ea-407f-bb63-b0476a15442b</t>
  </si>
  <si>
    <t>Software Engineering, SQL, Data Analysis, Python, Business Analysis, Project Management</t>
  </si>
  <si>
    <t>ec80dd78-fb46-4543-97d6-54f0ce960f0a</t>
  </si>
  <si>
    <t>NLP, machine learning, deep learning</t>
  </si>
  <si>
    <t>Business Analysis, Communication, Research, Cloud Computing, Data Analysis</t>
  </si>
  <si>
    <t>45dfe1ab-57ca-4105-892f-007b9a9cae97</t>
  </si>
  <si>
    <t>Communication, Software Engineering, Statistics, SQL, Data Analysis</t>
  </si>
  <si>
    <t>06387329-f8b3-4433-a40b-7e2ef3a34c6a</t>
  </si>
  <si>
    <t>Research, Communication, Statistics, SQL, Project Management</t>
  </si>
  <si>
    <t>462406c3-d767-4657-a565-06e267289ec1</t>
  </si>
  <si>
    <t>Data Analysis, Communication, Research</t>
  </si>
  <si>
    <t>2a65c477-cd3b-4dc3-8334-38a62f760cb5</t>
  </si>
  <si>
    <t>Research, Data Analysis, Project Management</t>
  </si>
  <si>
    <t>02a1b9c0-b86a-49d3-b40d-e1a46d9071c2</t>
  </si>
  <si>
    <t>Communication, SQL, Research, Cloud Computing, Python</t>
  </si>
  <si>
    <t>315b126e-c791-4d15-a8b0-8683805cecc3</t>
  </si>
  <si>
    <t>Research, Statistics, Business Analysis, SQL, Project Management</t>
  </si>
  <si>
    <t>a9e3c2cc-1e24-48a2-ab1d-42d2224c477a</t>
  </si>
  <si>
    <t>SQL, Business Analysis, Cloud Computing, Project Management</t>
  </si>
  <si>
    <t>dc0e2d42-4e51-4388-b456-1cb5cd1b536d</t>
  </si>
  <si>
    <t>computer vision, machine learning, MLOps, deep learning</t>
  </si>
  <si>
    <t>Communication, Software Engineering, Cloud Computing, Research</t>
  </si>
  <si>
    <t>6065dc9e-6c0d-43d9-823b-af38ce99d84c</t>
  </si>
  <si>
    <t>reinforcement learning, MLOps, computer vision</t>
  </si>
  <si>
    <t>Research, Software Engineering, Data Analysis, Project Management</t>
  </si>
  <si>
    <t>d38ade27-4550-4358-96d3-aec967ef5082</t>
  </si>
  <si>
    <t>MLOps, computer vision, reinforcement learning</t>
  </si>
  <si>
    <t>Business Analysis, Cloud Computing, Communication, Python</t>
  </si>
  <si>
    <t>e1ff2f92-957e-43b4-addd-ed27ec834463</t>
  </si>
  <si>
    <t>Business Analysis, Cloud Computing, Software Engineering, Statistics, SQL, Communication</t>
  </si>
  <si>
    <t>047908fa-4c04-4998-877e-11836646c767</t>
  </si>
  <si>
    <t>Business Analysis, Python, SQL, Cloud Computing, Project Management, Data Analysis</t>
  </si>
  <si>
    <t>a3929dee-a4d2-4e35-a43f-efc99d6a3d79</t>
  </si>
  <si>
    <t>computer vision, MLOps, machine learning</t>
  </si>
  <si>
    <t>Project Management, Statistics, Python, SQL, Business Analysis</t>
  </si>
  <si>
    <t>61dd977c-6d2c-4dd3-99d3-1d0f91e2d7bb</t>
  </si>
  <si>
    <t>Project Management, Business Analysis, Research, Communication, Python</t>
  </si>
  <si>
    <t>624bf4ab-03b9-4a02-a063-0a207c16c76d</t>
  </si>
  <si>
    <t>Statistics, SQL, Python</t>
  </si>
  <si>
    <t>2354d1ba-e2ee-4eaf-8080-bcf890895e13</t>
  </si>
  <si>
    <t>machine learning, reinforcement learning, MLOps</t>
  </si>
  <si>
    <t>Software Engineering, Communication, SQL, Project Management</t>
  </si>
  <si>
    <t>74aa2090-ab3d-4394-8854-493f23581fcd</t>
  </si>
  <si>
    <t>machine learning, NLP, computer vision, deep learning</t>
  </si>
  <si>
    <t>SQL, Cloud Computing, Data Analysis, Research, Statistics, Communication</t>
  </si>
  <si>
    <t>8e7bb7ca-e7cf-4710-aa31-02d95aed7bac</t>
  </si>
  <si>
    <t>Communication, Python, Software Engineering, Cloud Computing</t>
  </si>
  <si>
    <t>f5195b7a-bcf5-4c61-a6e2-09e97224177b</t>
  </si>
  <si>
    <t>Statistics, Python, Data Analysis, Research, SQL</t>
  </si>
  <si>
    <t>c1d1175e-d2d0-4b86-8c79-7c3af845d899</t>
  </si>
  <si>
    <t>SQL, Business Analysis, Research, Communication, Project Management</t>
  </si>
  <si>
    <t>3d05cb76-f7af-4bc5-9fdd-9e5803dd7be1</t>
  </si>
  <si>
    <t>SQL, Statistics, Python, Data Analysis, Research, Software Engineering</t>
  </si>
  <si>
    <t>2c0703db-37c0-4b42-a7da-bca59acc06c4</t>
  </si>
  <si>
    <t>Project Management, Python, Communication, Business Analysis</t>
  </si>
  <si>
    <t>4fd6697e-b321-4a1b-bb7d-661481eff5de</t>
  </si>
  <si>
    <t>Communication, Python, Statistics, Project Management, Cloud Computing, Business Analysis</t>
  </si>
  <si>
    <t>741c9ca6-e796-4ac9-a433-7cd2fcc4cb3f</t>
  </si>
  <si>
    <t>deep learning, computer vision, NLP, machine learning</t>
  </si>
  <si>
    <t>Communication, Software Engineering, Statistics, Research</t>
  </si>
  <si>
    <t>1d1cc6e3-d5c8-4a52-b8b6-8c2ab02467d2</t>
  </si>
  <si>
    <t>Research, Data Analysis, Project Management, Python, Business Analysis, SQL</t>
  </si>
  <si>
    <t>ca5657fa-ca7e-4f8e-a7d4-d701df36cf9c</t>
  </si>
  <si>
    <t>Communication, Business Analysis, Project Management, Cloud Computing, SQL, Research</t>
  </si>
  <si>
    <t>3a732a9d-b66b-474d-97c7-3608c87a3ac6</t>
  </si>
  <si>
    <t>Statistics, Project Management, Research, Data Analysis</t>
  </si>
  <si>
    <t>c5b7bd2f-469d-457d-9347-b500da87d2d0</t>
  </si>
  <si>
    <t>Software Engineering, Communication, Python, Statistics, SQL</t>
  </si>
  <si>
    <t>a259a33d-719e-4e89-8d60-24c4a0262750</t>
  </si>
  <si>
    <t>Research, Cloud Computing, Project Management</t>
  </si>
  <si>
    <t>9824967f-68aa-4150-bd80-681d6640c172</t>
  </si>
  <si>
    <t>Statistics, Software Engineering, Research, Cloud Computing</t>
  </si>
  <si>
    <t>6e8c6643-0275-4a39-83a8-030bb44c47b9</t>
  </si>
  <si>
    <t>Business Analysis, Statistics, Communication, Project Management, Cloud Computing</t>
  </si>
  <si>
    <t>5af73064-f0d7-4657-8a37-478c19708e3e</t>
  </si>
  <si>
    <t>SQL, Cloud Computing, Communication, Software Engineering, Statistics</t>
  </si>
  <si>
    <t>303a4310-5fab-4e3c-8e59-a63e844aae07</t>
  </si>
  <si>
    <t>SQL, Statistics, Software Engineering, Cloud Computing, Business Analysis</t>
  </si>
  <si>
    <t>f2e2cbe2-426c-46a5-988c-dbd41bebdfa0</t>
  </si>
  <si>
    <t>Business Analysis, Research, Cloud Computing</t>
  </si>
  <si>
    <t>5b689bf3-916d-4a85-9f1b-a05587dc7995</t>
  </si>
  <si>
    <t>Research, Cloud Computing, Communication, Statistics, Python</t>
  </si>
  <si>
    <t>1aad090b-6ffb-4b9f-ae7b-fb0dbf12e13e</t>
  </si>
  <si>
    <t>MLOps, reinforcement learning, computer vision, machine learning</t>
  </si>
  <si>
    <t>Data Analysis, Cloud Computing, SQL, Project Management</t>
  </si>
  <si>
    <t>c93d753a-26ef-40d7-98ef-c83260e44b17</t>
  </si>
  <si>
    <t>Business Analysis, Cloud Computing, Research, SQL</t>
  </si>
  <si>
    <t>ce7e57d6-35b1-455c-8e99-78d773a33748</t>
  </si>
  <si>
    <t>reinforcement learning, machine learning, deep learning</t>
  </si>
  <si>
    <t>Data Analysis, Business Analysis, Research, Python</t>
  </si>
  <si>
    <t>8fa8ba69-175e-49dd-8d30-9786000489a3</t>
  </si>
  <si>
    <t>Statistics, Business Analysis, Communication, Project Management, Data Analysis, Research</t>
  </si>
  <si>
    <t>bac75422-d70d-4d18-9820-796e304d7bcd</t>
  </si>
  <si>
    <t>Data Analysis, Project Management, Communication, Business Analysis, Software Engineering, Python</t>
  </si>
  <si>
    <t>ac7de84e-14ab-4763-bbdf-1045473b349a</t>
  </si>
  <si>
    <t>Business Analysis, Research, Python, Cloud Computing</t>
  </si>
  <si>
    <t>1c4ec105-0dd1-44b4-93db-b7b75e0267a9</t>
  </si>
  <si>
    <t>Business Analysis, Python, Statistics, Software Engineering</t>
  </si>
  <si>
    <t>b00e809e-841a-46a5-8e31-af105257fa6e</t>
  </si>
  <si>
    <t>43abfb21-52d6-429c-84e9-b22ddc426580</t>
  </si>
  <si>
    <t>Business Analysis, Software Engineering, Communication, SQL</t>
  </si>
  <si>
    <t>2a36105f-9ede-4dbf-a803-e49a65790c86</t>
  </si>
  <si>
    <t>SQL, Statistics, Communication, Software Engineering, Python, Data Analysis</t>
  </si>
  <si>
    <t>530e1ebf-5b05-44e1-987e-f37f72ba16c3</t>
  </si>
  <si>
    <t>Project Management, Software Engineering, Research, Statistics, Business Analysis, Cloud Computing</t>
  </si>
  <si>
    <t>0a43bf76-2fb7-4627-8e38-0d452feae6f7</t>
  </si>
  <si>
    <t>Python, Project Management, Statistics, Business Analysis</t>
  </si>
  <si>
    <t>e96ac024-4ea6-4274-a755-6b4bdaf8fdf4</t>
  </si>
  <si>
    <t>Software Engineering, Research, Communication, Data Analysis, SQL</t>
  </si>
  <si>
    <t>855cef89-1baa-4997-92f7-0bd632ac4ad5</t>
  </si>
  <si>
    <t>Research, SQL, Business Analysis</t>
  </si>
  <si>
    <t>397e9c89-62f1-4c67-873c-8f52c330e71a</t>
  </si>
  <si>
    <t>Research, Project Management, Statistics</t>
  </si>
  <si>
    <t>68a0d813-90eb-460f-93fc-186e5b3c91e4</t>
  </si>
  <si>
    <t>Project Management, SQL, Cloud Computing, Business Analysis, Python</t>
  </si>
  <si>
    <t>58ade095-05e4-43c1-a009-c416bf497a82</t>
  </si>
  <si>
    <t>Cloud Computing, Project Management, Software Engineering, Data Analysis, Communication, Python</t>
  </si>
  <si>
    <t>987595ff-7532-4a5a-94fd-3dd34aaf426d</t>
  </si>
  <si>
    <t>Data Analysis, Python, Project Management</t>
  </si>
  <si>
    <t>7a7e6238-b4ea-4788-9ba2-286df4c32445</t>
  </si>
  <si>
    <t>Cloud Computing, Project Management, SQL, Statistics, Business Analysis, Research</t>
  </si>
  <si>
    <t>42abc4b8-8a4f-487b-98c9-6caa64c765af</t>
  </si>
  <si>
    <t>Communication, Business Analysis, Python</t>
  </si>
  <si>
    <t>23ad67db-9137-49ce-97dd-a1f1f1e94f69</t>
  </si>
  <si>
    <t>Data Analysis, Statistics, Software Engineering, SQL</t>
  </si>
  <si>
    <t>a703f2c6-f61f-4988-874c-8a356c400357</t>
  </si>
  <si>
    <t>computer vision, NLP, deep learning, machine learning</t>
  </si>
  <si>
    <t>Business Analysis, Software Engineering, Project Management</t>
  </si>
  <si>
    <t>ec45e41e-6bd8-4371-8b6d-3f20060a4410</t>
  </si>
  <si>
    <t>Python, Business Analysis, Statistics, Software Engineering, SQL, Project Management</t>
  </si>
  <si>
    <t>8aa4365c-6970-4678-9756-109ccddb6c98</t>
  </si>
  <si>
    <t>SQL, Data Analysis, Python, Research, Statistics, Cloud Computing</t>
  </si>
  <si>
    <t>0fe0f918-418a-47c9-8e3a-529de375926b</t>
  </si>
  <si>
    <t>Statistics, Business Analysis, Project Management, Cloud Computing, Research, SQL</t>
  </si>
  <si>
    <t>d3a40f9f-90bb-4591-8d27-d5957c8a9890</t>
  </si>
  <si>
    <t>Project Management, Communication, SQL</t>
  </si>
  <si>
    <t>5c58213e-3dbc-4ffb-b06a-06cdd1ffd59f</t>
  </si>
  <si>
    <t>reinforcement learning, deep learning, MLOps</t>
  </si>
  <si>
    <t>Project Management, SQL, Software Engineering, Data Analysis</t>
  </si>
  <si>
    <t>fa179a44-77f8-4475-b141-23f9afd79539</t>
  </si>
  <si>
    <t>Business Analysis, Data Analysis, Python</t>
  </si>
  <si>
    <t>804fb5c5-d573-491e-afae-f66064b8513e</t>
  </si>
  <si>
    <t>Data Analysis, Research, Python, Statistics, Software Engineering</t>
  </si>
  <si>
    <t>1bef4973-801a-4ca6-94c7-6c942a2c2374</t>
  </si>
  <si>
    <t>deep learning, reinforcement learning, NLP, MLOps</t>
  </si>
  <si>
    <t>Cloud Computing, Research, Software Engineering</t>
  </si>
  <si>
    <t>9a1dec0f-f335-4815-953a-7b0c00e6477a</t>
  </si>
  <si>
    <t>Communication, Cloud Computing, Project Management</t>
  </si>
  <si>
    <t>eb109334-38d0-4d67-ac90-f8ee63c50a97</t>
  </si>
  <si>
    <t>Python, Project Management, Software Engineering, Business Analysis</t>
  </si>
  <si>
    <t>b33e5c7c-ade8-4018-81be-f0e54763733f</t>
  </si>
  <si>
    <t>Business Analysis, Cloud Computing, SQL, Statistics, Research, Project Management</t>
  </si>
  <si>
    <t>7266be32-6d5e-4acd-9b31-5f8d8c53bb16</t>
  </si>
  <si>
    <t>Software Engineering, Research, Communication, SQL, Python</t>
  </si>
  <si>
    <t>f203bca7-c24b-4258-aa57-1d3121392383</t>
  </si>
  <si>
    <t>Python, Cloud Computing, Project Management, Communication, Business Analysis, SQL</t>
  </si>
  <si>
    <t>1ac4569c-7845-4f95-804a-f07dc27d195d</t>
  </si>
  <si>
    <t>computer vision, deep learning, MLOps, NLP</t>
  </si>
  <si>
    <t>Research, SQL, Software Engineering</t>
  </si>
  <si>
    <t>5ae1c2f3-1f83-4430-b827-9ff46d3dc538</t>
  </si>
  <si>
    <t>Python, Business Analysis, SQL, Research, Communication</t>
  </si>
  <si>
    <t>88e7473d-a9ca-44d3-9f37-708bc7fac542</t>
  </si>
  <si>
    <t>Python, Research, Statistics, SQL</t>
  </si>
  <si>
    <t>93762328-b02e-4b9b-a898-cb77dcfebacf</t>
  </si>
  <si>
    <t>Data Analysis, Software Engineering, Python, SQL</t>
  </si>
  <si>
    <t>6d1d21ad-c91b-47f8-bf78-2fb6658c4700</t>
  </si>
  <si>
    <t>Business Analysis, Data Analysis, Software Engineering, Python, Statistics</t>
  </si>
  <si>
    <t>1adbea3b-df64-4ec2-a488-9ef988de3f4c</t>
  </si>
  <si>
    <t>SQL, Python, Research</t>
  </si>
  <si>
    <t>df7b3812-6dd7-4f71-8550-eb0366746409</t>
  </si>
  <si>
    <t>Cloud Computing, SQL, Research</t>
  </si>
  <si>
    <t>52e71ad3-a482-4fa9-952e-e461bd6e7258</t>
  </si>
  <si>
    <t>deep learning, machine learning, MLOps, reinforcement learning</t>
  </si>
  <si>
    <t>Statistics, Project Management, Research</t>
  </si>
  <si>
    <t>9e194a41-4719-40f4-b081-1eba4ffcf81b</t>
  </si>
  <si>
    <t>Software Engineering, Communication, Statistics, Project Management</t>
  </si>
  <si>
    <t>c2a5e28a-ee62-4315-ade6-f6913fe4c4a3</t>
  </si>
  <si>
    <t>Business Analysis, Software Engineering, Statistics, SQL, Data Analysis, Research</t>
  </si>
  <si>
    <t>a939bb64-8624-49aa-b8ad-46fd18628932</t>
  </si>
  <si>
    <t>Software Engineering, SQL, Communication, Data Analysis, Project Management, Business Analysis</t>
  </si>
  <si>
    <t>7f4d6e30-8692-4032-8cf7-b24f9859c302</t>
  </si>
  <si>
    <t>Research, Python, SQL, Communication, Statistics, Software Engineering</t>
  </si>
  <si>
    <t>21f7cb94-8074-4252-b5cc-aff4ef10f046</t>
  </si>
  <si>
    <t>Research, Project Management, Business Analysis</t>
  </si>
  <si>
    <t>836b4774-702e-49ef-93d3-2f255ce1e910</t>
  </si>
  <si>
    <t>Project Management, Business Analysis, Data Analysis, Communication, Cloud Computing</t>
  </si>
  <si>
    <t>a5555661-8e5b-4c27-bdf7-bfae1dc31634</t>
  </si>
  <si>
    <t>Cloud Computing, Business Analysis, Python</t>
  </si>
  <si>
    <t>23c80e49-c6bf-432b-95fc-3852a796d33f</t>
  </si>
  <si>
    <t>574617bd-f791-44ca-91f6-524826a1eaaf</t>
  </si>
  <si>
    <t>Business Analysis, Python, SQL, Research</t>
  </si>
  <si>
    <t>a4dd639f-2a14-4b21-a53e-cca244a1670d</t>
  </si>
  <si>
    <t>MLOps, machine learning, reinforcement learning</t>
  </si>
  <si>
    <t>Statistics, Communication, Data Analysis</t>
  </si>
  <si>
    <t>2dd8f5b4-831b-48ce-9dbd-d7cfb1d77ca3</t>
  </si>
  <si>
    <t>Project Management, SQL, Data Analysis, Statistics, Cloud Computing</t>
  </si>
  <si>
    <t>48ce1dcb-64fb-48e7-83c0-eef9350dbff4</t>
  </si>
  <si>
    <t>Statistics, Data Analysis, Cloud Computing, Python, Project Management, SQL</t>
  </si>
  <si>
    <t>5f52ebf8-d3cf-448e-9913-bb6088e9237a</t>
  </si>
  <si>
    <t>Data Analysis, Software Engineering, Business Analysis, Statistics</t>
  </si>
  <si>
    <t>b8a2d2dd-d843-4284-aa78-4b3417086499</t>
  </si>
  <si>
    <t>reinforcement learning, deep learning, NLP, computer vision</t>
  </si>
  <si>
    <t>Cloud Computing, Research, Data Analysis, SQL, Project Management</t>
  </si>
  <si>
    <t>092e98f5-d88a-4c21-9900-c116154b2776</t>
  </si>
  <si>
    <t>Software Engineering, SQL, Python, Communication, Project Management</t>
  </si>
  <si>
    <t>caa61c07-fe85-45f9-a3b2-4e2af56934e9</t>
  </si>
  <si>
    <t>Python, Software Engineering, Data Analysis</t>
  </si>
  <si>
    <t>f7855605-23dc-4c71-b8f0-fd01763fe9df</t>
  </si>
  <si>
    <t>Project Management, Business Analysis, Data Analysis</t>
  </si>
  <si>
    <t>f26252c1-0686-4c8f-b852-27486e7af727</t>
  </si>
  <si>
    <t>Project Management, Communication, Data Analysis, Python, Software Engineering, Statistics</t>
  </si>
  <si>
    <t>390d8e28-e9ab-40f6-9fe2-a32f1969d518</t>
  </si>
  <si>
    <t>Cloud Computing, Statistics, Software Engineering, Business Analysis, Research</t>
  </si>
  <si>
    <t>3f7a95f5-1b76-463e-b697-f94272040f3b</t>
  </si>
  <si>
    <t>Python, Software Engineering, SQL, Communication</t>
  </si>
  <si>
    <t>45aefcef-7c7b-46f6-b193-40e83627b0dc</t>
  </si>
  <si>
    <t>SQL, Data Analysis, Business Analysis, Research</t>
  </si>
  <si>
    <t>f88c05dd-6ee2-44b0-b279-d762582bcde3</t>
  </si>
  <si>
    <t>Project Management, Python, Research, Communication, Business Analysis</t>
  </si>
  <si>
    <t>243b0a8a-135a-4680-a047-b976b9ca8f97</t>
  </si>
  <si>
    <t>Cloud Computing, Communication, Project Management, Research</t>
  </si>
  <si>
    <t>58a3cb0a-b923-4326-be51-636a86348509</t>
  </si>
  <si>
    <t>Project Management, Statistics, Cloud Computing, Communication</t>
  </si>
  <si>
    <t>86fc6afa-a04a-4615-a7be-6b3320400612</t>
  </si>
  <si>
    <t>Communication, Software Engineering, Data Analysis, Cloud Computing</t>
  </si>
  <si>
    <t>aafc3fe5-367c-4676-acec-1d3cbe6b7bc5</t>
  </si>
  <si>
    <t>Business Analysis, Software Engineering, Python</t>
  </si>
  <si>
    <t>7654f121-f2b3-499b-a772-d9d1af242cd4</t>
  </si>
  <si>
    <t>Cloud Computing, Research, Business Analysis, Communication, Data Analysis, Python</t>
  </si>
  <si>
    <t>aa50aea8-6319-41ac-bf57-1c6d2eef96fc</t>
  </si>
  <si>
    <t>Communication, SQL, Business Analysis, Python, Cloud Computing, Software Engineering</t>
  </si>
  <si>
    <t>8a286123-3337-48ef-8a21-be86920c1a68</t>
  </si>
  <si>
    <t>machine learning, reinforcement learning, computer vision, NLP</t>
  </si>
  <si>
    <t>Project Management, Communication, Python</t>
  </si>
  <si>
    <t>b169bc75-f7f8-47e2-96cf-f6d9ac4066f4</t>
  </si>
  <si>
    <t>Project Management, Python, SQL, Software Engineering, Research</t>
  </si>
  <si>
    <t>41780f74-ba4f-48c1-a14f-1cc7000ab2df</t>
  </si>
  <si>
    <t>Cloud Computing, Data Analysis, SQL, Software Engineering, Python, Communication</t>
  </si>
  <si>
    <t>3450b380-33b4-4ea0-ac15-eadfbd515ce1</t>
  </si>
  <si>
    <t>Project Management, Research, Python, SQL, Software Engineering, Cloud Computing</t>
  </si>
  <si>
    <t>3d1000f5-abe4-4941-afb5-16eada984142</t>
  </si>
  <si>
    <t>6d13f855-32e1-48a6-b189-eab4da0f6f02</t>
  </si>
  <si>
    <t>Business Analysis, Data Analysis, Communication, Research, Project Management</t>
  </si>
  <si>
    <t>b6ed9d66-e645-47c0-b9f7-369cf242c04c</t>
  </si>
  <si>
    <t>Research, SQL, Python, Communication, Cloud Computing, Software Engineering</t>
  </si>
  <si>
    <t>895cd1c7-f1cc-4e4f-8810-4e3449660d4a</t>
  </si>
  <si>
    <t>Communication, Python, Research, Data Analysis</t>
  </si>
  <si>
    <t>182f326a-a5e1-479e-819d-6d3d0dc399f9</t>
  </si>
  <si>
    <t>reinforcement learning, machine learning, NLP, MLOps</t>
  </si>
  <si>
    <t>Data Analysis, SQL, Cloud Computing, Communication, Research</t>
  </si>
  <si>
    <t>c0b63fb2-af43-4399-a69c-5dc4fe499e61</t>
  </si>
  <si>
    <t>Data Analysis, Python, Cloud Computing, SQL</t>
  </si>
  <si>
    <t>a0732a0c-0dce-46d6-a258-8ad2ed2be6ee</t>
  </si>
  <si>
    <t>Statistics, Communication, Software Engineering, Data Analysis, SQL, Research</t>
  </si>
  <si>
    <t>54ad926f-609c-40a2-b12b-efb1acafb188</t>
  </si>
  <si>
    <t>aa5ed00e-1553-490b-b0f6-892764ca2ac1</t>
  </si>
  <si>
    <t>Project Management, Business Analysis, Cloud Computing, Data Analysis, Research</t>
  </si>
  <si>
    <t>30714fbe-713f-46ad-9f18-7c6f7fbd1fe1</t>
  </si>
  <si>
    <t>Project Management, Business Analysis, SQL, Software Engineering, Communication</t>
  </si>
  <si>
    <t>02172c71-7264-4931-8123-0c5b4f5e760d</t>
  </si>
  <si>
    <t>Statistics, Software Engineering, Project Management</t>
  </si>
  <si>
    <t>1ba4c0d6-f999-4f55-875d-92bb3f933e10</t>
  </si>
  <si>
    <t>SQL, Research, Communication, Software Engineering, Business Analysis, Data Analysis</t>
  </si>
  <si>
    <t>363bd091-a5b4-497e-b5ba-8d4563cc9b1f</t>
  </si>
  <si>
    <t>Research, Cloud Computing, Communication, Statistics</t>
  </si>
  <si>
    <t>94aa7b21-3f4b-48e6-a551-0083c7b5a743</t>
  </si>
  <si>
    <t>Statistics, Business Analysis, Project Management</t>
  </si>
  <si>
    <t>7308e6a4-90a3-440b-8d8d-8a2c2dbd9fc6</t>
  </si>
  <si>
    <t>Data Analysis, Cloud Computing, Statistics, Project Management, SQL, Software Engineering</t>
  </si>
  <si>
    <t>5f34d2e9-acba-41be-b5f0-b76c7e9b62e6</t>
  </si>
  <si>
    <t>Project Management, Cloud Computing, SQL, Business Analysis</t>
  </si>
  <si>
    <t>3a88ad5e-2e2b-46bd-aed9-31ff54449105</t>
  </si>
  <si>
    <t>SQL, Statistics, Communication, Research</t>
  </si>
  <si>
    <t>4e5826ce-0922-476d-b3cd-d87ccb2eaa39</t>
  </si>
  <si>
    <t>5ac62e14-3a2c-422e-bb31-544aab191c26</t>
  </si>
  <si>
    <t>Project Management, Data Analysis, Business Analysis, SQL, Statistics</t>
  </si>
  <si>
    <t>eabf299d-2501-458c-8ccd-fb550a1a37e9</t>
  </si>
  <si>
    <t>Statistics, Communication, Project Management</t>
  </si>
  <si>
    <t>4ce9d62d-f7eb-426d-85ed-94aed179543f</t>
  </si>
  <si>
    <t>Project Management, Software Engineering, Research, Business Analysis, Cloud Computing, Python</t>
  </si>
  <si>
    <t>595be077-daa3-4ea5-b848-41c4705cecab</t>
  </si>
  <si>
    <t>Python, Statistics, Communication, Software Engineering</t>
  </si>
  <si>
    <t>4c43caa4-5f32-4bbe-a108-3c0427620cfd</t>
  </si>
  <si>
    <t>Project Management, Data Analysis, Statistics, Research</t>
  </si>
  <si>
    <t>e01cbe29-05fd-4b59-bac7-fa62b72e21ef</t>
  </si>
  <si>
    <t>reinforcement learning, MLOps, deep learning, machine learning</t>
  </si>
  <si>
    <t>SQL, Data Analysis, Communication, Software Engineering</t>
  </si>
  <si>
    <t>21ae9bc0-f4dc-4a0f-b2e3-5cb42df84748</t>
  </si>
  <si>
    <t>Data Analysis, Statistics, Communication, Business Analysis</t>
  </si>
  <si>
    <t>024a0f35-1e55-4907-9012-3b49ac2b5ff1</t>
  </si>
  <si>
    <t>Statistics, Communication, Business Analysis</t>
  </si>
  <si>
    <t>9acce5ea-d860-4fcb-b8df-5171e0530de1</t>
  </si>
  <si>
    <t>SQL, Research, Software Engineering</t>
  </si>
  <si>
    <t>e96d3083-4321-4467-bd04-c2e4afaefad1</t>
  </si>
  <si>
    <t>SQL, Research, Statistics</t>
  </si>
  <si>
    <t>cb13886b-d51c-4d1a-85fa-bebc5af62968</t>
  </si>
  <si>
    <t>Statistics, Python, Cloud Computing, SQL, Data Analysis</t>
  </si>
  <si>
    <t>d908c9e3-59b0-4da9-9527-03d70d6365f2</t>
  </si>
  <si>
    <t>Data Analysis, Communication, Software Engineering, Cloud Computing, SQL, Project Management</t>
  </si>
  <si>
    <t>1cca4fe3-efc2-4b55-bde5-1aaa83342432</t>
  </si>
  <si>
    <t>Project Management, SQL, Data Analysis, Research, Software Engineering, Python</t>
  </si>
  <si>
    <t>cfcb427a-9274-434a-9ddb-ab9bc834fd0d</t>
  </si>
  <si>
    <t>Cloud Computing, Research, Statistics, Software Engineering, Python</t>
  </si>
  <si>
    <t>def6da10-499a-46a0-8438-c4dfd4e02c2e</t>
  </si>
  <si>
    <t>Software Engineering, Research, Communication, Data Analysis, Cloud Computing</t>
  </si>
  <si>
    <t>dd063aa5-ee54-4d86-9f93-03ffc9302eb4</t>
  </si>
  <si>
    <t>Python, Cloud Computing, Project Management</t>
  </si>
  <si>
    <t>3ec4c6b1-5230-4bf4-92b6-ce6be57a079a</t>
  </si>
  <si>
    <t>Business Analysis, Data Analysis, Statistics, Cloud Computing, Communication</t>
  </si>
  <si>
    <t>ea9dfd4e-1935-4531-a9b3-cb79ce39fcb5</t>
  </si>
  <si>
    <t>Cloud Computing, Python, Statistics, SQL, Project Management, Software Engineering</t>
  </si>
  <si>
    <t>7061083f-edc9-4dce-b2bb-561097259e17</t>
  </si>
  <si>
    <t>Statistics, Cloud Computing, Communication, Data Analysis</t>
  </si>
  <si>
    <t>237dda66-c76f-4a26-ab58-92fc8cd76d82</t>
  </si>
  <si>
    <t>Research, Software Engineering, Data Analysis, Statistics, Project Management, Business Analysis</t>
  </si>
  <si>
    <t>fce15c4e-c867-4d79-8acd-b82136b50b56</t>
  </si>
  <si>
    <t>NLP, deep learning, reinforcement learning</t>
  </si>
  <si>
    <t>SQL, Research, Project Management</t>
  </si>
  <si>
    <t>e39cdd94-1247-4380-89db-56c8a4b84f06</t>
  </si>
  <si>
    <t>Project Management, Software Engineering, Business Analysis, SQL, Python, Statistics</t>
  </si>
  <si>
    <t>2e7cd904-6aaf-4138-9464-1ad4971c25bf</t>
  </si>
  <si>
    <t>Emerging</t>
  </si>
  <si>
    <t>Business Analysis, Data Analysis, Communication, Software Engineering</t>
  </si>
  <si>
    <t>85d15bdc-bf78-40a0-a691-9c8a916b3da0</t>
  </si>
  <si>
    <t>Python, Software Engineering, Research, Project Management, Statistics, Data Analysis</t>
  </si>
  <si>
    <t>abca6890-9f78-4452-a642-abd5befb925f</t>
  </si>
  <si>
    <t>Software Engineering, Data Analysis, Business Analysis, Project Management</t>
  </si>
  <si>
    <t>3d6f24ee-2d42-40b4-b6bc-4b1b933adbf0</t>
  </si>
  <si>
    <t>SQL, Python, Cloud Computing, Data Analysis</t>
  </si>
  <si>
    <t>4ec656a6-91d3-4b41-940c-92eaa77bdb0f</t>
  </si>
  <si>
    <t>Data Analysis, Python, Software Engineering, Communication, Statistics</t>
  </si>
  <si>
    <t>c120ad56-271c-4dbd-9bba-47109f297732</t>
  </si>
  <si>
    <t>Project Management, Business Analysis, Cloud Computing</t>
  </si>
  <si>
    <t>1dbe848d-1500-4cc1-bf62-1ae3f1ef06bb</t>
  </si>
  <si>
    <t>Data Analysis, Communication, SQL</t>
  </si>
  <si>
    <t>2a1b3abf-beb1-4300-962e-411b0c2c33c2</t>
  </si>
  <si>
    <t>Software Engineering, Research, Statistics</t>
  </si>
  <si>
    <t>ff316197-84ca-4f42-8d8f-3301d72070b1</t>
  </si>
  <si>
    <t>NLP, reinforcement learning, machine learning</t>
  </si>
  <si>
    <t>Communication, Data Analysis, Statistics, Business Analysis, Research, Cloud Computing</t>
  </si>
  <si>
    <t>e533b4de-d21b-4c7a-89e4-b3b2ffb36755</t>
  </si>
  <si>
    <t>Business Analysis, Cloud Computing, Project Management</t>
  </si>
  <si>
    <t>a86a531f-3aaf-4d34-9ea8-09d6380f97a1</t>
  </si>
  <si>
    <t>Cloud Computing, Data Analysis, Business Analysis, Python, SQL, Software Engineering</t>
  </si>
  <si>
    <t>03b26051-5ea1-45f1-b7c8-4aa9a5e81929</t>
  </si>
  <si>
    <t>SQL, Research, Python, Data Analysis</t>
  </si>
  <si>
    <t>93506a2b-bbcc-4a45-8d84-96b4d3797ba6</t>
  </si>
  <si>
    <t>ef1d6fdc-443d-4259-b357-a657617c5ae3</t>
  </si>
  <si>
    <t>Data Analysis, Project Management, SQL, Python, Software Engineering</t>
  </si>
  <si>
    <t>8577a7c3-09e8-4c05-9205-2d5d0b34ea2a</t>
  </si>
  <si>
    <t>Communication, SQL, Python, Software Engineering, Statistics</t>
  </si>
  <si>
    <t>87838988-4934-436e-9f1b-5148643b0107</t>
  </si>
  <si>
    <t>SQL, Communication, Software Engineering</t>
  </si>
  <si>
    <t>4145ad79-137d-4ce9-a7e9-019ea20790ec</t>
  </si>
  <si>
    <t>e35037a4-4182-4f35-b460-891bebe0e6db</t>
  </si>
  <si>
    <t>Software Engineering, Business Analysis, Data Analysis, Cloud Computing</t>
  </si>
  <si>
    <t>3a8528d6-1ad0-4dbc-9f91-e6b433be7daf</t>
  </si>
  <si>
    <t>Communication, SQL, Research, Business Analysis</t>
  </si>
  <si>
    <t>50d44958-0f80-489d-a204-963ca5b7c055</t>
  </si>
  <si>
    <t>Business Analysis, Software Engineering, Data Analysis</t>
  </si>
  <si>
    <t>e3403b7b-5712-4032-8466-465f3747d987</t>
  </si>
  <si>
    <t>SQL, Statistics, Research, Project Management</t>
  </si>
  <si>
    <t>85047ee7-538b-4cfe-8718-63588a913697</t>
  </si>
  <si>
    <t>Communication, Project Management, Software Engineering, Research, Business Analysis</t>
  </si>
  <si>
    <t>708f2a91-6500-44c1-9e62-d5416a1a43eb</t>
  </si>
  <si>
    <t>machine learning, computer vision, NLP, MLOps</t>
  </si>
  <si>
    <t>Communication, Python, Software Engineering, Research, Project Management, Data Analysis</t>
  </si>
  <si>
    <t>3e4c7f5a-6c2e-4e07-ad7b-55944cff39c2</t>
  </si>
  <si>
    <t>Communication, Project Management, Research, Business Analysis, SQL</t>
  </si>
  <si>
    <t>3630a865-648c-4d30-a52f-f4f1f8f6ee85</t>
  </si>
  <si>
    <t>Research, Cloud Computing, Python, Project Management</t>
  </si>
  <si>
    <t>c4759027-ea8d-4a2d-8442-59c8a408a977</t>
  </si>
  <si>
    <t>Project Management, Cloud Computing, Data Analysis, Statistics</t>
  </si>
  <si>
    <t>3d4bd451-d4ed-443c-903e-96c37ea3f104</t>
  </si>
  <si>
    <t>Software Engineering, Business Analysis, Python, Statistics, Research</t>
  </si>
  <si>
    <t>4d484619-9765-485a-b502-5533909cc520</t>
  </si>
  <si>
    <t>computer vision, deep learning, reinforcement learning, machine learning</t>
  </si>
  <si>
    <t>Communication, Data Analysis, Research, Software Engineering, Cloud Computing</t>
  </si>
  <si>
    <t>f2ed4e35-a7a4-4bc3-ad0b-c64c11adbc9e</t>
  </si>
  <si>
    <t>Communication, Business Analysis, Project Management, Statistics, Data Analysis</t>
  </si>
  <si>
    <t>f49e801f-b215-405c-b5b2-3a23273a0e45</t>
  </si>
  <si>
    <t>Project Management, Cloud Computing, Business Analysis, Statistics, Communication</t>
  </si>
  <si>
    <t>e24be4c2-1f62-4984-9997-143ca2603a5d</t>
  </si>
  <si>
    <t>Cloud Computing, Communication, SQL, Software Engineering</t>
  </si>
  <si>
    <t>7b9fa5c4-9a8a-44c5-a06f-1e1fd105cc55</t>
  </si>
  <si>
    <t>Python, Data Analysis, Software Engineering</t>
  </si>
  <si>
    <t>f0bdc047-b91d-4e99-9302-1dc03e67eceb</t>
  </si>
  <si>
    <t>Communication, Software Engineering, Data Analysis, Statistics</t>
  </si>
  <si>
    <t>9d96cef4-f4bb-4219-89a9-4688ad58be65</t>
  </si>
  <si>
    <t>Business Analysis, Research, Cloud Computing, Communication</t>
  </si>
  <si>
    <t>5ab5ee9c-1bc7-494c-8a85-5fe6b7cdce39</t>
  </si>
  <si>
    <t>Python, Research, Cloud Computing, Statistics, Software Engineering</t>
  </si>
  <si>
    <t>759394c3-a8e5-4ebf-9f14-caaa05899675</t>
  </si>
  <si>
    <t>Software Engineering, Research, Project Management</t>
  </si>
  <si>
    <t>b2e84124-235c-436d-abda-f4f123edf94a</t>
  </si>
  <si>
    <t>Communication, SQL, Data Analysis, Python, Software Engineering, Business Analysis</t>
  </si>
  <si>
    <t>f3916a0b-f4aa-4f80-93fb-e2826148cf73</t>
  </si>
  <si>
    <t>Software Engineering, SQL, Business Analysis, Cloud Computing</t>
  </si>
  <si>
    <t>873cb2a6-b99a-49ab-a803-e900c39514c8</t>
  </si>
  <si>
    <t>Research, Business Analysis, Software Engineering, Statistics</t>
  </si>
  <si>
    <t>e482d4d0-0267-4f9f-a9d4-30fc87be9700</t>
  </si>
  <si>
    <t>Python, Software Engineering, Communication, SQL</t>
  </si>
  <si>
    <t>f5891b8c-507a-46a9-ac6f-fa2ae3b33257</t>
  </si>
  <si>
    <t>Business Analysis, Communication, Python, Project Management, Statistics</t>
  </si>
  <si>
    <t>e21f432e-d4ff-4dc9-b25f-673831afc018</t>
  </si>
  <si>
    <t>Research, SQL, Python, Business Analysis, Data Analysis, Statistics</t>
  </si>
  <si>
    <t>4b55cd5c-1a53-496a-a186-107402c5ef30</t>
  </si>
  <si>
    <t>SQL, Data Analysis, Statistics, Project Management, Business Analysis, Communication</t>
  </si>
  <si>
    <t>93ecf402-790d-4b9f-98c5-987f229c714a</t>
  </si>
  <si>
    <t>Software Engineering, SQL, Cloud Computing</t>
  </si>
  <si>
    <t>96014d0d-b875-49c5-8ed5-952a34a90771</t>
  </si>
  <si>
    <t>Software Engineering, Research, Statistics, Python, Cloud Computing</t>
  </si>
  <si>
    <t>c4e1ac40-b893-407f-ae19-538ca2da00cc</t>
  </si>
  <si>
    <t>Cloud Computing, Statistics, Research</t>
  </si>
  <si>
    <t>f6311ef4-5bb2-4502-8250-f6c893ce4c53</t>
  </si>
  <si>
    <t>Business Analysis, Data Analysis, SQL, Statistics</t>
  </si>
  <si>
    <t>8a241e0a-2438-4fb5-9806-9d11d5e19204</t>
  </si>
  <si>
    <t>NLP, computer vision, deep learning, MLOps</t>
  </si>
  <si>
    <t>Data Analysis, Business Analysis, Software Engineering</t>
  </si>
  <si>
    <t>d9e3e5a5-a9c4-4053-b5d8-6f46d39ec715</t>
  </si>
  <si>
    <t>SQL, Research, Business Analysis, Statistics, Cloud Computing</t>
  </si>
  <si>
    <t>76c7c80e-e0d5-44aa-a215-795ccb4fdeff</t>
  </si>
  <si>
    <t>MLOps, reinforcement learning, deep learning</t>
  </si>
  <si>
    <t>Statistics, Data Analysis, Business Analysis, Project Management, Software Engineering, SQL</t>
  </si>
  <si>
    <t>c3547f92-a860-4ed6-ae04-deb7a4ba4c25</t>
  </si>
  <si>
    <t>Cloud Computing, Data Analysis, Python</t>
  </si>
  <si>
    <t>72c22352-974b-45b3-b6f0-be8541b2c123</t>
  </si>
  <si>
    <t>Cloud Computing, Communication, Statistics, Project Management, Python, Research</t>
  </si>
  <si>
    <t>4c3f2f91-1c00-4293-b02c-9a1342685e6d</t>
  </si>
  <si>
    <t>Data Analysis, Communication, Statistics, Project Management, Software Engineering, Cloud Computing</t>
  </si>
  <si>
    <t>55cf2ef7-e75d-4841-b0df-15541e03e699</t>
  </si>
  <si>
    <t>Software Engineering, Python, Research</t>
  </si>
  <si>
    <t>90424352-5d9d-44ae-8b08-60bacb28de7a</t>
  </si>
  <si>
    <t>SQL, Data Analysis, Python, Project Management, Statistics, Research</t>
  </si>
  <si>
    <t>4b0aaea3-3363-4dd9-949c-e768108d0442</t>
  </si>
  <si>
    <t>Python, Statistics, Software Engineering, Research, SQL</t>
  </si>
  <si>
    <t>2c7e1a63-ee64-4e7a-9755-2ccf5e93d313</t>
  </si>
  <si>
    <t>f75b34b3-33e1-4307-b5ec-9267b1067b7c</t>
  </si>
  <si>
    <t>Statistics, Python, Research, Project Management</t>
  </si>
  <si>
    <t>0d3e415c-ecb0-4470-bea8-6ebcfdddbb56</t>
  </si>
  <si>
    <t>Data Analysis, Cloud Computing, Communication, Statistics, Software Engineering, Python</t>
  </si>
  <si>
    <t>6d84dd83-4a56-4bc6-8d00-920e79efae8c</t>
  </si>
  <si>
    <t>Communication, Research, Business Analysis</t>
  </si>
  <si>
    <t>88ef5457-74f9-4bb7-840d-71e946aa7713</t>
  </si>
  <si>
    <t>5ef24c54-de3b-45a9-926b-e1833dfe2865</t>
  </si>
  <si>
    <t>Research, Communication, Statistics, Python</t>
  </si>
  <si>
    <t>6d23684e-0fce-4173-8762-a2cdbf72607e</t>
  </si>
  <si>
    <t>Business Analysis, Data Analysis, Project Management, SQL, Cloud Computing</t>
  </si>
  <si>
    <t>0182cee0-0d2e-4c4a-8006-3abf2c8ccd20</t>
  </si>
  <si>
    <t>Cloud Computing, Software Engineering, SQL, Statistics, Research</t>
  </si>
  <si>
    <t>c73e30bb-0373-490b-8bc9-9ec03db8ca84</t>
  </si>
  <si>
    <t>Business Analysis, Project Management, Cloud Computing, Statistics</t>
  </si>
  <si>
    <t>960a0bdb-e5bc-468c-99fa-77d25828a4e6</t>
  </si>
  <si>
    <t>Project Management, Python, Communication, Cloud Computing, Research</t>
  </si>
  <si>
    <t>1da6731c-2a17-4fde-b43a-3281912bc31d</t>
  </si>
  <si>
    <t>Statistics, Project Management, Cloud Computing, Communication, Business Analysis</t>
  </si>
  <si>
    <t>fc9d1854-3cbf-4bab-90df-77304dfc59df</t>
  </si>
  <si>
    <t>Data Analysis, Python, Cloud Computing, Project Management, Research</t>
  </si>
  <si>
    <t>4928ffe9-140c-44d5-b89f-7159c4a42e6b</t>
  </si>
  <si>
    <t>Research, Statistics, Project Management, Business Analysis, Communication</t>
  </si>
  <si>
    <t>8c2df762-2363-42ae-a428-4c9434a9793c</t>
  </si>
  <si>
    <t>Cloud Computing, Software Engineering, SQL, Python, Project Management, Communication</t>
  </si>
  <si>
    <t>fd1d0433-5f4a-4cab-9058-141a2314d877</t>
  </si>
  <si>
    <t>MLOps, reinforcement learning, machine learning, computer vision</t>
  </si>
  <si>
    <t>SQL, Software Engineering, Business Analysis, Python, Statistics, Research</t>
  </si>
  <si>
    <t>8a2b19e0-b33d-4487-9d24-e666856dc846</t>
  </si>
  <si>
    <t>Business Analysis, Python, Project Management, Statistics</t>
  </si>
  <si>
    <t>b2386f17-6385-484f-9e31-978e1214fce4</t>
  </si>
  <si>
    <t>Statistics, Software Engineering, Research</t>
  </si>
  <si>
    <t>6007f5db-d4a1-4441-b1e8-05e109eab892</t>
  </si>
  <si>
    <t>Statistics, SQL, Software Engineering, Python, Business Analysis, Data Analysis</t>
  </si>
  <si>
    <t>8f0a0020-62b9-4f5f-954a-99af78a5db45</t>
  </si>
  <si>
    <t>Statistics, Data Analysis, Research, Software Engineering, Cloud Computing, SQL</t>
  </si>
  <si>
    <t>24148f9e-df8b-4c2f-afcd-4fc1efbe7e63</t>
  </si>
  <si>
    <t>Cloud Computing, Software Engineering, Python, Statistics, Research, Business Analysis</t>
  </si>
  <si>
    <t>34383e66-e58f-4f87-8f82-82c4c8b24b29</t>
  </si>
  <si>
    <t>deep learning, reinforcement learning, NLP</t>
  </si>
  <si>
    <t>Project Management, Data Analysis, Business Analysis, Software Engineering</t>
  </si>
  <si>
    <t>ffbe8f25-03fc-4ac9-9ca8-cbb234cb4019</t>
  </si>
  <si>
    <t>SQL, Python, Cloud Computing, Communication</t>
  </si>
  <si>
    <t>ba42b2d1-60be-44e2-900f-df978ae1a36e</t>
  </si>
  <si>
    <t>Cloud Computing, Business Analysis, SQL</t>
  </si>
  <si>
    <t>76e65890-fcf1-408b-8b7a-10ea8c82a42d</t>
  </si>
  <si>
    <t>Business Analysis, Project Management, Data Analysis</t>
  </si>
  <si>
    <t>bf8dd2d3-2b5f-4d35-97d8-c01eac86370b</t>
  </si>
  <si>
    <t>Research, Statistics, Data Analysis, SQL, Communication</t>
  </si>
  <si>
    <t>93c89dd9-ddaa-442a-bb54-1bd969dc145c</t>
  </si>
  <si>
    <t>Data Analysis, Project Management, Business Analysis, SQL</t>
  </si>
  <si>
    <t>51973f53-70e7-466a-86b2-0af898bbc82c</t>
  </si>
  <si>
    <t>deep learning, MLOps, NLP, machine learning</t>
  </si>
  <si>
    <t>Cloud Computing, Communication, Python, Statistics, SQL</t>
  </si>
  <si>
    <t>051b4552-5f24-4511-a4e6-6c5c64e78f14</t>
  </si>
  <si>
    <t>SQL, Software Engineering, Communication, Project Management, Python, Research</t>
  </si>
  <si>
    <t>d78b898f-80d8-47d0-b974-7638fe4484c8</t>
  </si>
  <si>
    <t>48a756f5-37cd-4cc2-925b-fd014b9782b4</t>
  </si>
  <si>
    <t>Project Management, Statistics, Python, Business Analysis</t>
  </si>
  <si>
    <t>c504c0fd-75e6-401c-9118-a693d2a924a7</t>
  </si>
  <si>
    <t>Data Analysis, Research, Project Management, Software Engineering, Statistics</t>
  </si>
  <si>
    <t>381afabe-7933-4962-b72e-3669b74a17a6</t>
  </si>
  <si>
    <t>machine learning, NLP, deep learning, computer vision</t>
  </si>
  <si>
    <t>Project Management, Data Analysis, Statistics, Python, Research, Software Engineering</t>
  </si>
  <si>
    <t>11aee4b4-9c5c-4f89-93be-902d413ac1d0</t>
  </si>
  <si>
    <t>deep learning, machine learning, reinforcement learning</t>
  </si>
  <si>
    <t>Statistics, Communication, Research, Python, Business Analysis</t>
  </si>
  <si>
    <t>b6d8af6f-74ef-450b-9334-3b51deeeb646</t>
  </si>
  <si>
    <t>Statistics, Business Analysis, Software Engineering, Cloud Computing</t>
  </si>
  <si>
    <t>677457a0-d846-4b83-917f-38684c5e7248</t>
  </si>
  <si>
    <t>SQL, Data Analysis, Research, Cloud Computing, Software Engineering</t>
  </si>
  <si>
    <t>96796828-94b7-435a-9376-f034dd53eb18</t>
  </si>
  <si>
    <t>Data Analysis, Research, Communication, Python, Project Management</t>
  </si>
  <si>
    <t>b8a50362-c39f-4c1e-8f09-e553c0ee1f20</t>
  </si>
  <si>
    <t>reinforcement learning, NLP, MLOps, computer vision</t>
  </si>
  <si>
    <t>Communication, Research, Data Analysis, SQL, Python, Statistics</t>
  </si>
  <si>
    <t>5ac3b950-9501-4f66-ac40-966832311bd9</t>
  </si>
  <si>
    <t>Python, Project Management, Statistics</t>
  </si>
  <si>
    <t>f163cbd4-0221-4d36-8acc-d899c0304a22</t>
  </si>
  <si>
    <t>Research, Business Analysis, Project Management, Software Engineering, Statistics, Communication</t>
  </si>
  <si>
    <t>0ad7fe95-e4f7-4ff9-9383-0556058aad23</t>
  </si>
  <si>
    <t>Cloud Computing, Research, Project Management, Python, Communication, SQL</t>
  </si>
  <si>
    <t>1f9b1efc-1bd3-49b5-9b31-0d1987fef438</t>
  </si>
  <si>
    <t>Communication, Business Analysis, Python, Cloud Computing, Data Analysis</t>
  </si>
  <si>
    <t>76067bf0-96c5-4fc1-b465-9b5922ffc87f</t>
  </si>
  <si>
    <t>Business Analysis, Statistics, Python</t>
  </si>
  <si>
    <t>08c01c20-74b0-45d1-9a65-efe09b47665d</t>
  </si>
  <si>
    <t>Statistics, Cloud Computing, SQL, Research, Python, Data Analysis</t>
  </si>
  <si>
    <t>c00926fa-0d05-49a2-a896-135fd15cf007</t>
  </si>
  <si>
    <t>Communication, Software Engineering, Research, Data Analysis</t>
  </si>
  <si>
    <t>44086825-e553-4f34-aea9-bfa97813511a</t>
  </si>
  <si>
    <t>Business Analysis, Communication, Python</t>
  </si>
  <si>
    <t>a5fd5e2b-76b1-44e8-afc6-7adc0ecbd998</t>
  </si>
  <si>
    <t>Cloud Computing, Project Management, Communication, Statistics, Data Analysis</t>
  </si>
  <si>
    <t>bf41bcf5-2d2c-47cd-9ddb-252097ab347b</t>
  </si>
  <si>
    <t>Python, Cloud Computing, SQL</t>
  </si>
  <si>
    <t>63017ac1-0abe-4e16-9c03-5fabe047a5ce</t>
  </si>
  <si>
    <t>Python, Statistics, Business Analysis, SQL, Project Management, Communication</t>
  </si>
  <si>
    <t>93382d5d-0eca-48d0-b335-b7eb35f0428b</t>
  </si>
  <si>
    <t>Data Analysis, SQL, Cloud Computing, Business Analysis</t>
  </si>
  <si>
    <t>99ca5368-2215-4aaa-a970-6d9deb3a38e8</t>
  </si>
  <si>
    <t>SQL, Data Analysis, Cloud Computing, Software Engineering, Python, Research</t>
  </si>
  <si>
    <t>32154542-2dce-472e-ae8d-2686c0a745ce</t>
  </si>
  <si>
    <t>6af6333b-c493-4bad-bb91-5fa93adb8f97</t>
  </si>
  <si>
    <t>9c072f21-14b2-4c42-a362-579b72944614</t>
  </si>
  <si>
    <t>Cloud Computing, Research, Business Analysis, Data Analysis, Python</t>
  </si>
  <si>
    <t>e122817b-7915-4286-a44a-0fa22b88583d</t>
  </si>
  <si>
    <t>Project Management, Software Engineering, Research, Data Analysis, Python, Communication</t>
  </si>
  <si>
    <t>7b625b36-bd0f-4a73-a676-e1f10c54d3c1</t>
  </si>
  <si>
    <t>Research, Data Analysis, Communication</t>
  </si>
  <si>
    <t>7c7d44ef-2016-4a38-8a2f-e0b97fefd2d5</t>
  </si>
  <si>
    <t>Project Management, Data Analysis, Python, SQL, Software Engineering, Cloud Computing</t>
  </si>
  <si>
    <t>7240e821-157e-4db2-b5d0-4e3fc01a6f11</t>
  </si>
  <si>
    <t>Statistics, Research, Project Management, Python, Communication</t>
  </si>
  <si>
    <t>5d509c68-638f-4ee9-b6ee-b9c385b9f981</t>
  </si>
  <si>
    <t>Data Analysis, Communication, Cloud Computing, Software Engineering, Statistics, Business Analysis</t>
  </si>
  <si>
    <t>7890dc19-6787-420e-8b82-3e724f889402</t>
  </si>
  <si>
    <t>Business Analysis, Communication, Statistics, Project Management</t>
  </si>
  <si>
    <t>04bae60c-3779-4c22-a104-4ec5265d2e4a</t>
  </si>
  <si>
    <t>Python, Data Analysis, Project Management, Statistics</t>
  </si>
  <si>
    <t>e4e2d765-984a-46da-b070-38eb39f9b928</t>
  </si>
  <si>
    <t>Software Engineering, Python, SQL, Research</t>
  </si>
  <si>
    <t>7bb2fc41-cbdc-4cd2-a131-dd207c1a1d6d</t>
  </si>
  <si>
    <t>Communication, Python, Data Analysis, Project Management, SQL, Statistics</t>
  </si>
  <si>
    <t>bcda666e-6131-467d-9ba9-00f9fbe22593</t>
  </si>
  <si>
    <t>SQL, Statistics, Communication</t>
  </si>
  <si>
    <t>bab05466-fd54-4f4c-8623-cbad62f93a89</t>
  </si>
  <si>
    <t>Data Analysis, Business Analysis, Python, SQL</t>
  </si>
  <si>
    <t>9f02da95-34cf-4340-ac15-f3b70df7b651</t>
  </si>
  <si>
    <t>Statistics, Software Engineering, Python</t>
  </si>
  <si>
    <t>c849a233-1b86-4a26-be1a-b8bb2d66a63c</t>
  </si>
  <si>
    <t>Research, Cloud Computing, Data Analysis, Project Management, Python, Statistics</t>
  </si>
  <si>
    <t>a7ae56c8-9c38-4bf7-a5ce-eed77b74bdea</t>
  </si>
  <si>
    <t>Project Management, Cloud Computing, Python, Business Analysis</t>
  </si>
  <si>
    <t>909c5c14-7ebd-476f-9f4c-349ef78ff263</t>
  </si>
  <si>
    <t>Project Management, Python, SQL, Communication, Data Analysis</t>
  </si>
  <si>
    <t>e25f42ca-db03-436d-8cb2-520bf8e9b1a0</t>
  </si>
  <si>
    <t>Project Management, Business Analysis, Python, Communication, Statistics</t>
  </si>
  <si>
    <t>078d35f0-ec46-49a2-bbd1-0d9e44ebc3fb</t>
  </si>
  <si>
    <t>Communication, Data Analysis, Software Engineering</t>
  </si>
  <si>
    <t>34460cc1-f548-4a21-935d-e0e5d4051e35</t>
  </si>
  <si>
    <t>Project Management, Data Analysis, Research, Business Analysis, Statistics</t>
  </si>
  <si>
    <t>0df474d5-2a1e-41eb-92b6-7cd6643148d2</t>
  </si>
  <si>
    <t>SQL, Business Analysis, Python, Data Analysis, Cloud Computing</t>
  </si>
  <si>
    <t>6979ef4a-dd7b-47cf-ab0f-1e3a13f3082b</t>
  </si>
  <si>
    <t>Business Analysis, Statistics, Cloud Computing, Communication</t>
  </si>
  <si>
    <t>2271ac88-cf80-44e3-92a4-53287e166a52</t>
  </si>
  <si>
    <t>Cloud Computing, SQL, Project Management, Communication, Statistics, Data Analysis</t>
  </si>
  <si>
    <t>05c1c7d3-2add-4919-91eb-f6c78bfe23d1</t>
  </si>
  <si>
    <t>Research, SQL, Business Analysis, Python, Cloud Computing, Data Analysis</t>
  </si>
  <si>
    <t>43699e93-7b15-4728-a4c6-9e41ff438a25</t>
  </si>
  <si>
    <t>Python, Data Analysis, SQL, Research</t>
  </si>
  <si>
    <t>d0699efd-d34b-4cf5-875d-f55cd7c3c2d1</t>
  </si>
  <si>
    <t>Software Engineering, Python, Business Analysis, Communication, Project Management, Data Analysis</t>
  </si>
  <si>
    <t>15bb5b6b-2d44-4e3c-8838-d693ff23efe3</t>
  </si>
  <si>
    <t>Business Analysis, SQL, Python, Software Engineering, Project Management</t>
  </si>
  <si>
    <t>b5a85901-bc8f-4368-b793-8c6564f809a9</t>
  </si>
  <si>
    <t>Data Analysis, Business Analysis, Communication</t>
  </si>
  <si>
    <t>2f9adb9f-6baa-4d73-a77c-ddc4c99fe4df</t>
  </si>
  <si>
    <t>computer vision, reinforcement learning</t>
  </si>
  <si>
    <t>Communication, Statistics, Project Management, Python</t>
  </si>
  <si>
    <t>73a4cffe-411f-4120-81c9-99ba233db5a7</t>
  </si>
  <si>
    <t>Communication, Software Engineering, SQL, Project Management</t>
  </si>
  <si>
    <t>4bc5adb8-e2af-4e7d-9b7b-288dd00bacaa</t>
  </si>
  <si>
    <t>Cloud Computing, Research, Project Management, Communication, Data Analysis, Business Analysis</t>
  </si>
  <si>
    <t>f661a80c-6d36-4305-90bc-f481455486bd</t>
  </si>
  <si>
    <t>Research, Software Engineering, Statistics</t>
  </si>
  <si>
    <t>a49d31f4-4c41-49f2-9bd5-3f0fc4e1516c</t>
  </si>
  <si>
    <t>Project Management, Communication, Cloud Computing</t>
  </si>
  <si>
    <t>40c8e592-cdbb-44d5-9eab-33c6f3058eb3</t>
  </si>
  <si>
    <t>Data Analysis, Statistics, Communication, Research, Business Analysis</t>
  </si>
  <si>
    <t>54066bd5-3653-43ae-a42b-884927a10426</t>
  </si>
  <si>
    <t>Communication, Software Engineering, SQL, Business Analysis, Cloud Computing, Research</t>
  </si>
  <si>
    <t>02b5d6ab-1dec-4f91-af5c-8672faff49a8</t>
  </si>
  <si>
    <t>SQL, Research, Python, Cloud Computing</t>
  </si>
  <si>
    <t>8b60a9c4-11a1-454a-bdee-55c92a87eb8d</t>
  </si>
  <si>
    <t>Software Engineering, Python, Cloud Computing</t>
  </si>
  <si>
    <t>12a78a4f-461f-467e-a331-9cd78fa1e6d0</t>
  </si>
  <si>
    <t>Data Analysis, Communication, SQL, Software Engineering, Business Analysis, Research</t>
  </si>
  <si>
    <t>7863d4b9-12c2-45a6-9a5d-b59c3b329a16</t>
  </si>
  <si>
    <t>SQL, Communication, Business Analysis</t>
  </si>
  <si>
    <t>31af747a-6d0f-4402-ad5f-e92d64ad7e79</t>
  </si>
  <si>
    <t>Project Management, SQL, Data Analysis, Research</t>
  </si>
  <si>
    <t>ac0301d7-3137-48a1-bd3f-9accce9d20db</t>
  </si>
  <si>
    <t>Data Analysis, Research, Communication, Software Engineering, Cloud Computing</t>
  </si>
  <si>
    <t>21491a43-54aa-4390-8bb0-36fd1aad7c24</t>
  </si>
  <si>
    <t>SQL, Statistics, Data Analysis, Cloud Computing, Software Engineering</t>
  </si>
  <si>
    <t>0f6db421-9aad-4e2b-82cc-41dbab0421b8</t>
  </si>
  <si>
    <t>Statistics, Python, Cloud Computing, Research</t>
  </si>
  <si>
    <t>9f4992c7-0b9f-4c05-b92e-3ecbcaf000bb</t>
  </si>
  <si>
    <t>Statistics, Python, Communication, Cloud Computing, Project Management, Research</t>
  </si>
  <si>
    <t>2b1007fd-c50e-44d5-9875-a5b7808c9091</t>
  </si>
  <si>
    <t>Research, SQL, Software Engineering, Statistics, Cloud Computing, Data Analysis</t>
  </si>
  <si>
    <t>bbaf8512-ae7e-4c4e-aacf-47715208bb90</t>
  </si>
  <si>
    <t>Research, Software Engineering, Python, Data Analysis, Business Analysis</t>
  </si>
  <si>
    <t>455b2826-0a66-4434-8bb7-0753d55561ac</t>
  </si>
  <si>
    <t>Cloud Computing, Research, Business Analysis, SQL, Communication, Project Management</t>
  </si>
  <si>
    <t>88a3432f-8cdc-40d8-aaae-8e07980d06c0</t>
  </si>
  <si>
    <t>Statistics, SQL, Research, Python, Communication, Software Engineering</t>
  </si>
  <si>
    <t>85661ba7-92e2-42eb-8dd3-db7925369549</t>
  </si>
  <si>
    <t>Software Engineering, Communication, Research</t>
  </si>
  <si>
    <t>0dbbdef3-d4f1-43d9-8c4a-7146f50d5de5</t>
  </si>
  <si>
    <t>Cloud Computing, Python, SQL, Data Analysis</t>
  </si>
  <si>
    <t>de924b23-faa1-4219-8a47-2395e70dc816</t>
  </si>
  <si>
    <t>4d4ce43f-df21-4b6a-92d4-ba36f0ae8c64</t>
  </si>
  <si>
    <t>Data Analysis, Cloud Computing, Business Analysis, Communication</t>
  </si>
  <si>
    <t>fc6e86aa-a36d-4760-a3d4-b3fb88050107</t>
  </si>
  <si>
    <t>Project Management, Data Analysis, Communication</t>
  </si>
  <si>
    <t>7c13d076-14c8-41f0-b4bb-3f4cd777c393</t>
  </si>
  <si>
    <t>SQL, Statistics, Software Engineering, Cloud Computing, Research</t>
  </si>
  <si>
    <t>8a00ceff-9e2c-4c1f-b469-db09c91fe9fe</t>
  </si>
  <si>
    <t>SQL, Cloud Computing, Software Engineering, Project Management</t>
  </si>
  <si>
    <t>7600ba29-9caf-417b-a642-976c44dafb0c</t>
  </si>
  <si>
    <t>Statistics, Business Analysis, Research, Software Engineering, Project Management</t>
  </si>
  <si>
    <t>267ef07c-181a-4652-abb7-66750e74f1a6</t>
  </si>
  <si>
    <t>Statistics, Python, Business Analysis, Data Analysis, Software Engineering, Project Management</t>
  </si>
  <si>
    <t>94b9cf77-cfad-4804-9a18-27f93e685689</t>
  </si>
  <si>
    <t>Business Analysis, Research, Data Analysis, Cloud Computing, Project Management, SQL</t>
  </si>
  <si>
    <t>6761d052-0238-46b2-8847-afa86999bcc1</t>
  </si>
  <si>
    <t>b5fd08a3-3c7c-4504-b775-4e3c5db52782</t>
  </si>
  <si>
    <t>Statistics, Cloud Computing, Data Analysis, SQL, Software Engineering, Project Management</t>
  </si>
  <si>
    <t>85050b38-61e2-436a-baa5-d96da8219a90</t>
  </si>
  <si>
    <t>Cloud Computing, SQL, Business Analysis, Research</t>
  </si>
  <si>
    <t>c392986e-1eeb-483f-b1d3-f3607d6cbdbc</t>
  </si>
  <si>
    <t>7142a033-45ff-4d78-9c99-53abe7671292</t>
  </si>
  <si>
    <t>Statistics, Communication, Cloud Computing</t>
  </si>
  <si>
    <t>a79126fe-09f9-47cc-882a-e3d5c00f535a</t>
  </si>
  <si>
    <t>Data Analysis, Cloud Computing, Communication, Statistics, Business Analysis, Python</t>
  </si>
  <si>
    <t>e4fe7157-a568-4d6b-ad68-237954186ae0</t>
  </si>
  <si>
    <t>Statistics, Research, Project Management, SQL</t>
  </si>
  <si>
    <t>45198311-123d-4040-a540-39743a3225c0</t>
  </si>
  <si>
    <t>Research, Python, Software Engineering</t>
  </si>
  <si>
    <t>ea68bd09-ac70-4a0b-9608-bb9ccc33ef32</t>
  </si>
  <si>
    <t>Research, Statistics, Business Analysis</t>
  </si>
  <si>
    <t>10f6807d-6c01-4742-8c2f-1733dc6a7491</t>
  </si>
  <si>
    <t>Statistics, Cloud Computing, SQL, Business Analysis, Research</t>
  </si>
  <si>
    <t>12555f8b-8980-4ee4-8994-5cf25f130db5</t>
  </si>
  <si>
    <t>Statistics, Data Analysis, Project Management, Business Analysis, Python, Research</t>
  </si>
  <si>
    <t>ddb4e2b1-37c9-4ecb-bd2a-6a7d1eb6aa2a</t>
  </si>
  <si>
    <t>Cloud Computing, Data Analysis, Statistics, Project Management</t>
  </si>
  <si>
    <t>0b0d5b20-d160-4e6b-9aa4-efb2d8c49774</t>
  </si>
  <si>
    <t>Business Analysis, Cloud Computing, Software Engineering</t>
  </si>
  <si>
    <t>f5c7e6fd-75a3-4a9d-b002-7116a6adcea8</t>
  </si>
  <si>
    <t>Project Management, Python, Data Analysis, Research, Statistics, Cloud Computing</t>
  </si>
  <si>
    <t>c620fd21-a09d-418c-985a-4c52c5e3c371</t>
  </si>
  <si>
    <t>Data Analysis, Software Engineering, Business Analysis</t>
  </si>
  <si>
    <t>ebe28c60-8c2f-4213-af21-dc311cd928e4</t>
  </si>
  <si>
    <t>Statistics, Business Analysis, Research</t>
  </si>
  <si>
    <t>21cb0fa8-a23c-45ee-ac6f-e59129cb7f43</t>
  </si>
  <si>
    <t>Statistics, Data Analysis, Cloud Computing, Python, Project Management, Communication</t>
  </si>
  <si>
    <t>d24f5028-338a-4120-8c4b-3954860c9109</t>
  </si>
  <si>
    <t>Communication, Software Engineering, Research, SQL, Business Analysis, Project Management</t>
  </si>
  <si>
    <t>598dac7a-504e-4f1a-a95e-790f8bcc374c</t>
  </si>
  <si>
    <t>Communication, Data Analysis, Business Analysis, Python</t>
  </si>
  <si>
    <t>7c6c50da-115e-41f9-bcde-d9fe9894b8ca</t>
  </si>
  <si>
    <t>Statistics, Business Analysis, Data Analysis, Python, Software Engineering</t>
  </si>
  <si>
    <t>20ad19db-8d5e-425c-8d68-07f28bfcb921</t>
  </si>
  <si>
    <t>Communication, Python, SQL, Statistics, Project Management</t>
  </si>
  <si>
    <t>e32e8825-b3ea-4926-aa5c-d33e613fce0b</t>
  </si>
  <si>
    <t>Python, Communication, Cloud Computing, Software Engineering, Data Analysis, Research</t>
  </si>
  <si>
    <t>02a69ea8-7c31-4998-a8f8-57b8ed680c19</t>
  </si>
  <si>
    <t>Data Analysis, Business Analysis, Research, Cloud Computing</t>
  </si>
  <si>
    <t>f1483de7-2b46-43f5-8a63-7ba1f13cbf91</t>
  </si>
  <si>
    <t>Project Management, Cloud Computing, Software Engineering, SQL, Python, Business Analysis</t>
  </si>
  <si>
    <t>35a7fe95-c9ca-4328-9f3d-c7f78fb443b5</t>
  </si>
  <si>
    <t>Communication, Software Engineering, Cloud Computing, Python, SQL</t>
  </si>
  <si>
    <t>b9516a66-1763-42b0-8041-d6e6ba3cf179</t>
  </si>
  <si>
    <t>SQL, Communication, Project Management, Software Engineering, Business Analysis, Research</t>
  </si>
  <si>
    <t>97f47cbc-3686-496a-9333-388e145b5fed</t>
  </si>
  <si>
    <t>SQL, Cloud Computing, Business Analysis, Data Analysis</t>
  </si>
  <si>
    <t>eac63c56-920c-4904-b335-9fe7e741f04d</t>
  </si>
  <si>
    <t>Communication, Statistics, Software Engineering, Project Management, Business Analysis, SQL</t>
  </si>
  <si>
    <t>31370a02-1a92-4026-a7ec-76985675e6e5</t>
  </si>
  <si>
    <t>machine learning, NLP, deep learning</t>
  </si>
  <si>
    <t>Business Analysis, Python, Data Analysis, Statistics</t>
  </si>
  <si>
    <t>c6e702bd-18d7-4197-a824-3e5f84e11474</t>
  </si>
  <si>
    <t>Data Analysis, SQL, Research</t>
  </si>
  <si>
    <t>a1d10e35-770f-4502-9e76-66b978753835</t>
  </si>
  <si>
    <t>Software Engineering, Research, Communication, Python, SQL</t>
  </si>
  <si>
    <t>85cccc9e-f1c0-4b09-80c0-ab91b09d6f6b</t>
  </si>
  <si>
    <t>SQL, Python, Communication, Software Engineering, Statistics, Business Analysis</t>
  </si>
  <si>
    <t>5e739937-d1b0-44d7-935c-7ebb3fc1f6e8</t>
  </si>
  <si>
    <t>SQL, Business Analysis, Statistics, Data Analysis</t>
  </si>
  <si>
    <t>9b33ba2b-081b-49e5-af8e-a2a8cec34698</t>
  </si>
  <si>
    <t>Python, Data Analysis, Statistics, Cloud Computing, Software Engineering</t>
  </si>
  <si>
    <t>1180e1ba-7bb8-4712-82d7-96092f0a7b5a</t>
  </si>
  <si>
    <t>Python, Project Management, Software Engineering, SQL, Communication, Cloud Computing</t>
  </si>
  <si>
    <t>8c618468-de85-49f2-93b0-4b3d44c88627</t>
  </si>
  <si>
    <t>Business Analysis, Cloud Computing, Research</t>
  </si>
  <si>
    <t>5b04b751-64f1-4a5e-b8f6-4bb8d79c1a20</t>
  </si>
  <si>
    <t>Communication, Cloud Computing, Data Analysis, Python</t>
  </si>
  <si>
    <t>1a3bd498-8a98-4e7c-872f-a313dd10e4ba</t>
  </si>
  <si>
    <t>Research, Business Analysis, Data Analysis, SQL, Project Management, Statistics</t>
  </si>
  <si>
    <t>a27f9535-0f21-4f3b-b3e5-e0458a77ff8d</t>
  </si>
  <si>
    <t>Communication, Research, Statistics, Python, Project Management</t>
  </si>
  <si>
    <t>c37ab5ee-e473-4804-a548-a64dffcb07c1</t>
  </si>
  <si>
    <t>Python, Data Analysis, Business Analysis, Software Engineering, Statistics, Project Management</t>
  </si>
  <si>
    <t>e1671a1d-ea37-4344-96b4-4c3f41b70b1d</t>
  </si>
  <si>
    <t>Communication, Software Engineering, Cloud Computing, Business Analysis</t>
  </si>
  <si>
    <t>7e1104a2-5217-4ac1-b28d-8d48a9f6f305</t>
  </si>
  <si>
    <t>Research, Communication, Python, Project Management, Data Analysis</t>
  </si>
  <si>
    <t>77143654-6e0a-4ec0-ae6d-33bb9fb4c637</t>
  </si>
  <si>
    <t>Data Analysis, Cloud Computing, Statistics</t>
  </si>
  <si>
    <t>a77b479a-f239-48a3-b61f-76735b15dc57</t>
  </si>
  <si>
    <t>Data Analysis, Cloud Computing, Business Analysis, Software Engineering, Research</t>
  </si>
  <si>
    <t>db6d7d75-d15d-4373-8e44-40702e10826f</t>
  </si>
  <si>
    <t>Statistics, Data Analysis, Business Analysis, SQL, Communication</t>
  </si>
  <si>
    <t>2d66713b-3186-4747-82ed-859e037cf0dd</t>
  </si>
  <si>
    <t>Communication, SQL, Project Management, Statistics, Data Analysis</t>
  </si>
  <si>
    <t>7759939a-2eec-47d3-9748-a819e36f07a6</t>
  </si>
  <si>
    <t>Statistics, Software Engineering, Python, Communication</t>
  </si>
  <si>
    <t>9db6e235-f029-47a9-ae45-be71540f736b</t>
  </si>
  <si>
    <t>SQL, Python, Data Analysis</t>
  </si>
  <si>
    <t>df4fdc0f-ca44-4b20-a318-2f58ee7c59cf</t>
  </si>
  <si>
    <t>Business Analysis, Python, Statistics, SQL, Communication, Research</t>
  </si>
  <si>
    <t>fa21b4d6-e728-4714-aede-eb7222223c37</t>
  </si>
  <si>
    <t>Statistics, Research, Cloud Computing, Project Management, Data Analysis</t>
  </si>
  <si>
    <t>a13ae991-acac-4088-b0f2-91749b0e5f35</t>
  </si>
  <si>
    <t>deep learning, computer vision, NLP</t>
  </si>
  <si>
    <t>Python, Data Analysis, Software Engineering, Communication</t>
  </si>
  <si>
    <t>82535b5e-5d96-4aa2-926e-322562c34eae</t>
  </si>
  <si>
    <t>Project Management, Research, Data Analysis, Python</t>
  </si>
  <si>
    <t>770d0fc8-ee30-4d83-8147-a6bcd2df2ae8</t>
  </si>
  <si>
    <t>Statistics, Python, Data Analysis, Communication</t>
  </si>
  <si>
    <t>1fde9d76-08fb-4222-846e-2cc2f3a00469</t>
  </si>
  <si>
    <t>SQL, Software Engineering, Cloud Computing, Statistics, Data Analysis</t>
  </si>
  <si>
    <t>408c02a8-c71d-41e1-88ff-97452b54eb05</t>
  </si>
  <si>
    <t>Cloud Computing, Data Analysis, Research, Business Analysis, SQL, Python</t>
  </si>
  <si>
    <t>d4df1262-208e-49b8-94d1-c345aed68206</t>
  </si>
  <si>
    <t>Business Analysis, Communication, Software Engineering, SQL, Research</t>
  </si>
  <si>
    <t>c2c14ce8-420f-4fc8-ba76-8128e14ceec5</t>
  </si>
  <si>
    <t>Software Engineering, Project Management, Python, Research, Statistics, SQL</t>
  </si>
  <si>
    <t>7c846c02-10fa-4d27-9c4a-4e33dc0f52b9</t>
  </si>
  <si>
    <t>Research, Business Analysis, Communication, SQL, Cloud Computing</t>
  </si>
  <si>
    <t>ab1ef744-8b0a-4b92-99d3-df10779c71c2</t>
  </si>
  <si>
    <t>Software Engineering, SQL, Python, Research</t>
  </si>
  <si>
    <t>9d6afd08-d37a-4666-87be-7830f8016691</t>
  </si>
  <si>
    <t>Python, SQL, Research, Cloud Computing, Communication, Statistics</t>
  </si>
  <si>
    <t>2627c882-665c-446a-b957-84b0e2d4c4a7</t>
  </si>
  <si>
    <t>Communication, Cloud Computing, Project Management, Research</t>
  </si>
  <si>
    <t>275c24d8-bd9d-465a-b47c-4298b0c25869</t>
  </si>
  <si>
    <t>Communication, Project Management, Software Engineering, Python, Business Analysis, Data Analysis</t>
  </si>
  <si>
    <t>d9388417-d07c-4a11-9b87-13322f3c72e1</t>
  </si>
  <si>
    <t>Software Engineering, Python, Communication, Statistics, Business Analysis, Project Management</t>
  </si>
  <si>
    <t>9fa8f48e-07e0-4a91-a3ea-cd34cc07235e</t>
  </si>
  <si>
    <t>375636e4-e85d-4e24-ae70-527aee534a0e</t>
  </si>
  <si>
    <t>SQL, Statistics, Data Analysis, Cloud Computing</t>
  </si>
  <si>
    <t>a8c16d44-8264-4c15-a6a3-862a5651a8fe</t>
  </si>
  <si>
    <t>Research, Communication, Business Analysis, Project Management</t>
  </si>
  <si>
    <t>9bfcb619-2972-4b52-9816-9292cd38e1a3</t>
  </si>
  <si>
    <t>Statistics, Data Analysis, Python</t>
  </si>
  <si>
    <t>b9c8aef6-06fb-4110-965b-4d2e33c7b1de</t>
  </si>
  <si>
    <t>Project Management, Software Engineering, Statistics, Data Analysis</t>
  </si>
  <si>
    <t>ad38ceae-c443-47db-96b8-08eeaee89577</t>
  </si>
  <si>
    <t>Communication, Cloud Computing, SQL</t>
  </si>
  <si>
    <t>441f3454-b0cc-4485-8612-e6a5f9972004</t>
  </si>
  <si>
    <t>Statistics, Cloud Computing, Communication</t>
  </si>
  <si>
    <t>fb4f0a27-b020-461c-ae31-020b64a709c6</t>
  </si>
  <si>
    <t>Software Engineering, Data Analysis, Python, Statistics, Project Management</t>
  </si>
  <si>
    <t>5aa67868-36bb-4e62-b700-e580d5eb019b</t>
  </si>
  <si>
    <t>70bf1e1b-f3b7-48d2-997a-594e7f634bfe</t>
  </si>
  <si>
    <t>Python, Research, Communication, Data Analysis, Statistics, Software Engineering</t>
  </si>
  <si>
    <t>20326cdd-b7f1-413c-ac91-36b05535abd7</t>
  </si>
  <si>
    <t>Project Management, Python, Software Engineering, Communication</t>
  </si>
  <si>
    <t>d7b892f2-ec1a-4f0a-a0f8-f6c2fb6e0faf</t>
  </si>
  <si>
    <t>Business Analysis, Python, SQL, Software Engineering, Data Analysis</t>
  </si>
  <si>
    <t>08123f35-ba2c-4f4a-8f18-c7c677da2d4d</t>
  </si>
  <si>
    <t>Software Engineering, Python, Business Analysis</t>
  </si>
  <si>
    <t>15b93fb6-d96a-4590-bf4f-63abf315ebb8</t>
  </si>
  <si>
    <t>Data Analysis, Research, Cloud Computing, Project Management, Business Analysis, Communication</t>
  </si>
  <si>
    <t>ed10d6c8-e921-4644-ba90-4c5b49bf95cd</t>
  </si>
  <si>
    <t>machine learning, MLOps, computer vision</t>
  </si>
  <si>
    <t>SQL, Software Engineering, Data Analysis, Python, Communication, Business Analysis</t>
  </si>
  <si>
    <t>08319b64-0cb4-47e8-99a1-f867a590455d</t>
  </si>
  <si>
    <t>Project Management, Business Analysis, Software Engineering</t>
  </si>
  <si>
    <t>7039bc4f-d84d-4ddd-b6dd-a7338be58544</t>
  </si>
  <si>
    <t>Research, Cloud Computing, SQL, Python, Software Engineering</t>
  </si>
  <si>
    <t>12d145fd-0135-4b07-ad5f-55404f37590b</t>
  </si>
  <si>
    <t>Python, Data Analysis, Software Engineering, Statistics</t>
  </si>
  <si>
    <t>ef02bc5e-5840-4908-905d-db95aed67a91</t>
  </si>
  <si>
    <t>SQL, Statistics, Project Management, Cloud Computing, Business Analysis, Python</t>
  </si>
  <si>
    <t>a7abe3ac-0561-4ecd-9d80-54962119a39d</t>
  </si>
  <si>
    <t>Communication, Software Engineering, Business Analysis</t>
  </si>
  <si>
    <t>d5887cc5-49fd-4d92-a86c-594f075aad13</t>
  </si>
  <si>
    <t>SQL, Communication, Data Analysis, Research, Business Analysis, Statistics</t>
  </si>
  <si>
    <t>476b449e-9387-4a10-b223-730b3d8c77e2</t>
  </si>
  <si>
    <t>Cloud Computing, Communication, Python, Data Analysis</t>
  </si>
  <si>
    <t>ecf2616f-2f14-46db-8b82-5bfffe9c8904</t>
  </si>
  <si>
    <t>Research, SQL, Communication, Business Analysis</t>
  </si>
  <si>
    <t>81f69a65-0cb7-4d0f-9362-12b134643b4b</t>
  </si>
  <si>
    <t>97f55e73-86f0-4cd8-8ea6-fba92cbb3942</t>
  </si>
  <si>
    <t>Business Analysis, Software Engineering, Project Management, SQL, Statistics</t>
  </si>
  <si>
    <t>b93c465f-b435-44f8-a8bb-c71ba91b6951</t>
  </si>
  <si>
    <t>Communication, Project Management, Data Analysis, Python, Software Engineering</t>
  </si>
  <si>
    <t>52167674-c642-4ef6-a131-bcde7683a7ed</t>
  </si>
  <si>
    <t>Data Analysis, Python, Business Analysis, Project Management</t>
  </si>
  <si>
    <t>cced3192-2520-4296-a360-d795aa56e8ee</t>
  </si>
  <si>
    <t>Project Management, Statistics, Python, Business Analysis, Research</t>
  </si>
  <si>
    <t>01259e4d-a0d3-467d-ad05-d09397e1da2b</t>
  </si>
  <si>
    <t>Python, Data Analysis, Cloud Computing, Project Management, SQL, Software Engineering</t>
  </si>
  <si>
    <t>a233120f-ac9e-4ac7-a9b4-2b65056d6332</t>
  </si>
  <si>
    <t>Research, Communication, Cloud Computing, SQL, Data Analysis</t>
  </si>
  <si>
    <t>9547865c-a445-4013-8474-967320596106</t>
  </si>
  <si>
    <t>Business Analysis, Cloud Computing, Python, Communication</t>
  </si>
  <si>
    <t>825739b6-7fbf-49e0-97de-eec9b274321c</t>
  </si>
  <si>
    <t>Software Engineering, SQL, Project Management, Communication</t>
  </si>
  <si>
    <t>4f038056-f712-442f-bd55-39ce257b9eeb</t>
  </si>
  <si>
    <t>Communication, Business Analysis, Data Analysis, Cloud Computing, SQL</t>
  </si>
  <si>
    <t>c86ffea4-12b8-44d0-8fd8-bc783aad0b20</t>
  </si>
  <si>
    <t>Project Management, Cloud Computing, SQL, Statistics</t>
  </si>
  <si>
    <t>c720470f-ee21-452d-87c9-a8b1519ba76f</t>
  </si>
  <si>
    <t>Project Management, Python, Business Analysis</t>
  </si>
  <si>
    <t>b13e29e2-ec56-482c-8cbc-f7fbb78ae8b1</t>
  </si>
  <si>
    <t>Research, Software Engineering, Python</t>
  </si>
  <si>
    <t>539b405a-bb48-483e-84ec-b2e97550eb44</t>
  </si>
  <si>
    <t>Project Management, SQL, Software Engineering, Cloud Computing</t>
  </si>
  <si>
    <t>da41533d-b43b-474e-b831-9b6dffb08390</t>
  </si>
  <si>
    <t>Project Management, Data Analysis, Software Engineering, Cloud Computing, Communication</t>
  </si>
  <si>
    <t>dcad2123-283c-47b5-a8e4-4864efe57f34</t>
  </si>
  <si>
    <t>Business Analysis, Python, Communication</t>
  </si>
  <si>
    <t>e34e7dd7-fda0-4519-bffd-f85b465791b9</t>
  </si>
  <si>
    <t>Business Analysis, Cloud Computing, Software Engineering, Project Management, Python</t>
  </si>
  <si>
    <t>710c257b-c349-4af4-b55a-c0dcc23eca59</t>
  </si>
  <si>
    <t>Python, Communication, Business Analysis, Research, Cloud Computing, SQL</t>
  </si>
  <si>
    <t>26359408-dbcd-48bd-a220-42396e2eb912</t>
  </si>
  <si>
    <t>Software Engineering, Python, Business Analysis, Project Management, Statistics, Communication</t>
  </si>
  <si>
    <t>61394b7b-bddd-4b55-8ed7-4d11dadd79ff</t>
  </si>
  <si>
    <t>ca8ac79a-496b-49fc-9f22-65fc596ba466</t>
  </si>
  <si>
    <t>Software Engineering, Python, Research, Data Analysis, Communication</t>
  </si>
  <si>
    <t>256b2db8-b2bf-4ec9-b25d-fbd6af6b1432</t>
  </si>
  <si>
    <t>Data Analysis, Statistics, Python, Software Engineering</t>
  </si>
  <si>
    <t>dbed75b4-d7eb-4e4d-ae7a-06a6a9889f1e</t>
  </si>
  <si>
    <t>Python, Software Engineering, Cloud Computing</t>
  </si>
  <si>
    <t>ec465a80-4f78-4016-a02f-e09900b886ab</t>
  </si>
  <si>
    <t>Data Analysis, Research, Statistics, Business Analysis, Project Management, Communication</t>
  </si>
  <si>
    <t>81b862da-6038-45e0-9839-14662d6cbe78</t>
  </si>
  <si>
    <t>SQL, Research, Python, Software Engineering</t>
  </si>
  <si>
    <t>69804301-b236-4134-90fe-28780c7f0fe7</t>
  </si>
  <si>
    <t>SQL, Software Engineering, Python</t>
  </si>
  <si>
    <t>72358c71-371d-4e7a-9e34-71f2d76924ca</t>
  </si>
  <si>
    <t>Project Management, Cloud Computing, Software Engineering, Data Analysis</t>
  </si>
  <si>
    <t>8b37973c-270d-4f12-bb55-9ba8ae7b706a</t>
  </si>
  <si>
    <t>Statistics, Software Engineering, Project Management, Python</t>
  </si>
  <si>
    <t>6525fe6d-18d9-4d36-bffd-0f7dfb4acd91</t>
  </si>
  <si>
    <t>Statistics, Business Analysis, SQL, Cloud Computing, Research, Software Engineering</t>
  </si>
  <si>
    <t>6a90d6c9-aa19-4f0e-b658-81ade09276ef</t>
  </si>
  <si>
    <t>machine learning, computer vision, reinforcement learning</t>
  </si>
  <si>
    <t>40024d61-4423-43f5-8268-3625c758eb36</t>
  </si>
  <si>
    <t>SQL, Business Analysis, Cloud Computing, Research, Software Engineering</t>
  </si>
  <si>
    <t>e048a8b9-9839-474e-b546-4056b86a04be</t>
  </si>
  <si>
    <t>Cloud Computing, Project Management, Statistics</t>
  </si>
  <si>
    <t>766a0cab-2283-4c8a-968e-53172aeddb7a</t>
  </si>
  <si>
    <t>SQL, Software Engineering, Project Management, Research, Statistics</t>
  </si>
  <si>
    <t>5ece8da5-5eef-4cf0-a419-dd40406502a5</t>
  </si>
  <si>
    <t>SQL, Cloud Computing, Communication, Project Management</t>
  </si>
  <si>
    <t>370ccaf7-8376-4e26-a326-a295cf80df3c</t>
  </si>
  <si>
    <t>Business Analysis, SQL, Software Engineering, Statistics, Communication</t>
  </si>
  <si>
    <t>2f78604a-1005-4f88-a30f-89087c097872</t>
  </si>
  <si>
    <t>Business Analysis, Software Engineering, SQL, Research</t>
  </si>
  <si>
    <t>a6966075-acaa-48a9-85f9-25d1a5a246dd</t>
  </si>
  <si>
    <t>Research, Python, Data Analysis, SQL, Communication</t>
  </si>
  <si>
    <t>e5d0a42d-eb85-4e9d-9611-6a0f5f13f8a9</t>
  </si>
  <si>
    <t>Communication, Research, Statistics, Software Engineering</t>
  </si>
  <si>
    <t>227b7a0e-60f7-43aa-a4fc-c12d85a7ef67</t>
  </si>
  <si>
    <t>Python, Statistics, Business Analysis, Cloud Computing</t>
  </si>
  <si>
    <t>d7721ff3-7012-424c-8e52-88260a2531e2</t>
  </si>
  <si>
    <t>Cloud Computing, Python, Data Analysis, Research, Business Analysis</t>
  </si>
  <si>
    <t>89453ae9-0a50-4b15-bfc6-f66f6b2c10f0</t>
  </si>
  <si>
    <t>Research, Communication, Cloud Computing, Business Analysis</t>
  </si>
  <si>
    <t>e2f409e5-00f7-445e-9e80-68531647e8fe</t>
  </si>
  <si>
    <t>Communication, Project Management, SQL</t>
  </si>
  <si>
    <t>5fe06ab3-8c85-4c74-888c-ec01db4332a5</t>
  </si>
  <si>
    <t>SQL, Cloud Computing, Project Management, Communication</t>
  </si>
  <si>
    <t>d49c7054-0e24-49c9-8aa3-d698a0bed4ab</t>
  </si>
  <si>
    <t>Data Analysis, Business Analysis, Cloud Computing, Software Engineering</t>
  </si>
  <si>
    <t>1b3896e6-d4a4-49b1-9940-b5695ce43a03</t>
  </si>
  <si>
    <t>Communication, Data Analysis, Software Engineering, Research, Statistics, Cloud Computing</t>
  </si>
  <si>
    <t>0d324c3a-fc21-495f-8cf9-68620e29c4a6</t>
  </si>
  <si>
    <t>Business Analysis, Communication, Research, Project Management, Python</t>
  </si>
  <si>
    <t>7cbd0998-41dd-444f-b6cf-8b3e2efb1193</t>
  </si>
  <si>
    <t>Research, Python, Statistics</t>
  </si>
  <si>
    <t>d0fe9b8a-3f38-4045-9bc8-51c027e76d8f</t>
  </si>
  <si>
    <t>deep learning, reinforcement learning, computer vision, machine learning</t>
  </si>
  <si>
    <t>Communication, Data Analysis, Project Management</t>
  </si>
  <si>
    <t>31907e66-a137-435f-a387-d92ab5898a13</t>
  </si>
  <si>
    <t>Software Engineering, Business Analysis, SQL, Research, Cloud Computing</t>
  </si>
  <si>
    <t>ce244010-ce9d-42f6-a0dc-56d7eb4fd199</t>
  </si>
  <si>
    <t>Data Analysis, Statistics, Research, Cloud Computing, Software Engineering</t>
  </si>
  <si>
    <t>a6db6f7a-8181-4d18-b2e0-6b983f05ec76</t>
  </si>
  <si>
    <t>SQL, Business Analysis, Python, Project Management, Statistics, Communication</t>
  </si>
  <si>
    <t>b0a7f886-d53b-441b-8bdc-b5b6dc880f6e</t>
  </si>
  <si>
    <t>Python, Communication, Research, Business Analysis</t>
  </si>
  <si>
    <t>7b3742be-d0c8-4c0c-b155-c9ec43982e60</t>
  </si>
  <si>
    <t>Project Management, Communication, Cloud Computing, Research, SQL, Business Analysis</t>
  </si>
  <si>
    <t>0b49bbf4-57c4-40bc-8263-054cbeb3bb64</t>
  </si>
  <si>
    <t>f14f557d-0d37-4bdc-9585-415eb923163c</t>
  </si>
  <si>
    <t>Communication, Business Analysis, SQL, Python, Research</t>
  </si>
  <si>
    <t>6e7408a5-4a45-46a2-bac0-d504c22edd9f</t>
  </si>
  <si>
    <t>Research, SQL, Business Analysis, Data Analysis</t>
  </si>
  <si>
    <t>5a4caa57-e65f-4a3d-ae76-8e2c46761e17</t>
  </si>
  <si>
    <t>Business Analysis, Cloud Computing, Python, Data Analysis</t>
  </si>
  <si>
    <t>3cb47ee5-d7c5-4e6f-be79-b93e662ddbf0</t>
  </si>
  <si>
    <t>Python, Statistics, Cloud Computing, Project Management, Business Analysis, Software Engineering</t>
  </si>
  <si>
    <t>c960bf44-8414-495b-b705-4057194f2ed8</t>
  </si>
  <si>
    <t>8b147a86-051e-4f85-985d-1aa9f102f2ee</t>
  </si>
  <si>
    <t>Cloud Computing, Project Management, Statistics, Data Analysis, SQL, Research</t>
  </si>
  <si>
    <t>44f01153-1ace-44f6-ba00-a69fed8e69fd</t>
  </si>
  <si>
    <t>Python, Communication, Cloud Computing, Project Management</t>
  </si>
  <si>
    <t>65f89c39-6216-4aa0-bcde-fe19eefcf8e2</t>
  </si>
  <si>
    <t>machine learning, MLOps</t>
  </si>
  <si>
    <t>Python, Software Engineering, Research</t>
  </si>
  <si>
    <t>451b8785-b18b-4b5e-9596-960ab3083db7</t>
  </si>
  <si>
    <t>3593af75-b568-4a2a-89a8-aeb3008ced1e</t>
  </si>
  <si>
    <t>Research, Statistics, Project Management, Software Engineering, Business Analysis, Data Analysis</t>
  </si>
  <si>
    <t>0c8328f6-53b6-4d1b-8088-ee3a2df8128d</t>
  </si>
  <si>
    <t>Business Analysis, Project Management, Communication, SQL</t>
  </si>
  <si>
    <t>4b7e0891-9a76-43dc-8e02-259ce47dd203</t>
  </si>
  <si>
    <t>Cloud Computing, Python, Project Management, Research</t>
  </si>
  <si>
    <t>db891b94-a5fd-4095-bf0c-47d1f98bca5d</t>
  </si>
  <si>
    <t>Research, Software Engineering, Business Analysis, SQL, Communication</t>
  </si>
  <si>
    <t>3c7066bf-722f-4174-9c21-b8b35457c8d2</t>
  </si>
  <si>
    <t>Statistics, Python, Cloud Computing, Business Analysis, Data Analysis, SQL</t>
  </si>
  <si>
    <t>d4481066-cc85-452b-8c31-e307bfb0ccf5</t>
  </si>
  <si>
    <t>Research, Cloud Computing, Python</t>
  </si>
  <si>
    <t>31bafc84-119e-4055-8898-d1b2848726fa</t>
  </si>
  <si>
    <t>Research, Data Analysis, Project Management, Statistics, SQL, Cloud Computing</t>
  </si>
  <si>
    <t>be9d4ca0-4b82-4e71-ab1a-1015629cc126</t>
  </si>
  <si>
    <t>Statistics, SQL, Data Analysis, Project Management, Software Engineering, Communication</t>
  </si>
  <si>
    <t>75e50d33-4caf-42f4-8f37-3d35dddfb0a4</t>
  </si>
  <si>
    <t>Cloud Computing, Data Analysis, Business Analysis</t>
  </si>
  <si>
    <t>b435cb13-cff8-4737-b685-b0f1a4d06036</t>
  </si>
  <si>
    <t>SQL, Software Engineering, Project Management, Communication, Research, Python</t>
  </si>
  <si>
    <t>cdc26498-0875-4856-a7e1-ed28bb0c77d6</t>
  </si>
  <si>
    <t>Data Analysis, Statistics, Project Management, SQL, Communication, Research</t>
  </si>
  <si>
    <t>5f8b3eb9-b9ef-4387-ac3b-79173ae9d5af</t>
  </si>
  <si>
    <t>Business Analysis, Data Analysis, Cloud Computing</t>
  </si>
  <si>
    <t>c0ba4e59-e76d-4e8f-bb62-895cad57f65d</t>
  </si>
  <si>
    <t>3de0e43d-d8ba-4158-b131-f011037c39a7</t>
  </si>
  <si>
    <t>Software Engineering, Communication, Python, Research</t>
  </si>
  <si>
    <t>220c2d55-af8e-4bc8-ad0a-3acd2b8210cf</t>
  </si>
  <si>
    <t>Communication, Data Analysis, Software Engineering, Python</t>
  </si>
  <si>
    <t>17957a82-2923-4eac-b2e8-e2d25eb3148c</t>
  </si>
  <si>
    <t>Business Analysis, Communication, SQL, Project Management, Statistics, Research</t>
  </si>
  <si>
    <t>77921993-0396-4020-b3ec-50075b582599</t>
  </si>
  <si>
    <t>Software Engineering, Cloud Computing, Business Analysis, Data Analysis, Research, Statistics</t>
  </si>
  <si>
    <t>603303c5-832d-4835-a44b-80385b8e0543</t>
  </si>
  <si>
    <t>SQL, Communication, Data Analysis, Software Engineering, Business Analysis</t>
  </si>
  <si>
    <t>5654e8ea-4fba-43f3-b7dc-d9d01972a6f6</t>
  </si>
  <si>
    <t>Cloud Computing, Python, Statistics, Business Analysis</t>
  </si>
  <si>
    <t>3d5aa88d-ea49-4451-b383-a4b87b4e3443</t>
  </si>
  <si>
    <t>Software Engineering, Statistics, Cloud Computing</t>
  </si>
  <si>
    <t>8708bf90-7e13-4860-bba3-5611528537e1</t>
  </si>
  <si>
    <t>Software Engineering, Statistics, Project Management, Data Analysis</t>
  </si>
  <si>
    <t>3b676732-dbfc-4e8b-b996-995af66a14d8</t>
  </si>
  <si>
    <t>Python, Communication, Statistics, Business Analysis</t>
  </si>
  <si>
    <t>5a4f4d45-f21d-416b-9271-5015f387589a</t>
  </si>
  <si>
    <t>Business Analysis, Communication, Project Management, Cloud Computing, Software Engineering</t>
  </si>
  <si>
    <t>8ea21009-f4c0-46df-bda1-ee2599c71313</t>
  </si>
  <si>
    <t>Software Engineering, Business Analysis, Data Analysis, Cloud Computing, Project Management, Research</t>
  </si>
  <si>
    <t>bf58130c-2cd0-4506-82af-dbdc5b9b15fc</t>
  </si>
  <si>
    <t>Data Analysis, Python, Project Management, Research</t>
  </si>
  <si>
    <t>668c7a9c-f48d-4911-a230-8d7ac79bab51</t>
  </si>
  <si>
    <t>Software Engineering, Research, Business Analysis</t>
  </si>
  <si>
    <t>86c3a5be-ed5e-423d-a9d2-ff300ffc86d1</t>
  </si>
  <si>
    <t>Software Engineering, Cloud Computing, Communication, Statistics</t>
  </si>
  <si>
    <t>2d92f5da-fd8b-429c-9bd7-67d11d71b8d8</t>
  </si>
  <si>
    <t>Statistics, SQL, Research</t>
  </si>
  <si>
    <t>b7232269-2591-407b-af58-c37ac7ee2f54</t>
  </si>
  <si>
    <t>Python, Cloud Computing, Project Management, Software Engineering</t>
  </si>
  <si>
    <t>4a9ad1fb-4057-4c9f-a5c9-ddb9b2ef2671</t>
  </si>
  <si>
    <t>Communication, Business Analysis, Research, Software Engineering, Statistics, Data Analysis</t>
  </si>
  <si>
    <t>335525eb-74b5-41cb-be4d-17eb35e113ec</t>
  </si>
  <si>
    <t>SQL, Statistics, Project Management, Python, Communication, Research</t>
  </si>
  <si>
    <t>33e0dedc-f6e3-49ca-9e87-647b9a2fad38</t>
  </si>
  <si>
    <t>4b1136b3-6296-42ce-8cee-4e7b74a36ee9</t>
  </si>
  <si>
    <t>Cloud Computing, Python, SQL</t>
  </si>
  <si>
    <t>97aff7e2-dc78-4e20-9b17-04a951db40b4</t>
  </si>
  <si>
    <t>0115ccb1-354d-464b-955b-d6253d64ecb5</t>
  </si>
  <si>
    <t>Python, Software Engineering, Project Management</t>
  </si>
  <si>
    <t>707e8b20-9d80-4a01-bab8-2223569aea19</t>
  </si>
  <si>
    <t>SQL, Project Management, Data Analysis, Statistics</t>
  </si>
  <si>
    <t>a632a348-a97b-4f38-ad88-5b9b93238bb7</t>
  </si>
  <si>
    <t>Communication, Statistics, Software Engineering, Project Management, Data Analysis</t>
  </si>
  <si>
    <t>cff222fe-838e-4928-b294-08b0707e715d</t>
  </si>
  <si>
    <t>reinforcement learning, machine learning</t>
  </si>
  <si>
    <t>Project Management, Software Engineering, Cloud Computing, Data Analysis, Statistics, Communication</t>
  </si>
  <si>
    <t>aec25da1-6ad9-47d3-81d6-11ff584ea27d</t>
  </si>
  <si>
    <t>Software Engineering, Data Analysis, Project Management</t>
  </si>
  <si>
    <t>583e331f-97e3-4e0c-b4e4-2d5ef9b4d6e6</t>
  </si>
  <si>
    <t>Python, Statistics, SQL, Data Analysis</t>
  </si>
  <si>
    <t>8b6d5ef3-d606-41e7-8b45-c3101f2b4c0e</t>
  </si>
  <si>
    <t>Data Analysis, Business Analysis, Communication, SQL, Cloud Computing, Research</t>
  </si>
  <si>
    <t>01939022-afd9-4e08-a035-263bb7e4d059</t>
  </si>
  <si>
    <t>Research, Python, Business Analysis, Project Management, Statistics</t>
  </si>
  <si>
    <t>7cdbc065-cc24-496d-91aa-5e3c99208149</t>
  </si>
  <si>
    <t>Project Management, Research, Data Analysis</t>
  </si>
  <si>
    <t>8a2e2047-9c14-40d0-ab91-e1c382519d30</t>
  </si>
  <si>
    <t>Software Engineering, Project Management, Data Analysis, Business Analysis, SQL</t>
  </si>
  <si>
    <t>4f5a3b19-2124-430d-9948-6fdff69a0ac9</t>
  </si>
  <si>
    <t>Project Management, Python, Communication, Business Analysis, Research, Software Engineering</t>
  </si>
  <si>
    <t>0bf9f53e-1144-4812-9eb1-15d79f01cc62</t>
  </si>
  <si>
    <t>Software Engineering, Data Analysis, Statistics, Research, Business Analysis</t>
  </si>
  <si>
    <t>f0e7f096-eb9d-46a1-8c08-0a40551c4a06</t>
  </si>
  <si>
    <t>Python, Statistics, Research</t>
  </si>
  <si>
    <t>e45357dd-3678-4907-b8fd-addec9d39a96</t>
  </si>
  <si>
    <t>Data Analysis, SQL, Research, Business Analysis, Python, Software Engineering</t>
  </si>
  <si>
    <t>a89693a3-9be3-48b2-abaf-dc703cdb4e48</t>
  </si>
  <si>
    <t>dae230c7-2dd4-492a-92d2-e853efbf2221</t>
  </si>
  <si>
    <t>52e963f4-470b-4b88-982a-847fe551cb80</t>
  </si>
  <si>
    <t>Project Management, Python, Software Engineering, Communication, Business Analysis, Statistics</t>
  </si>
  <si>
    <t>a8644dba-94be-4fe4-84d4-a81f053edd14</t>
  </si>
  <si>
    <t>Communication, Research, Cloud Computing, Python</t>
  </si>
  <si>
    <t>17ac5300-c3f1-4442-be71-e41087c31c0a</t>
  </si>
  <si>
    <t>Business Analysis, Research, Project Management, Python</t>
  </si>
  <si>
    <t>a89de7d1-8f03-4f8e-9733-7c68170957b9</t>
  </si>
  <si>
    <t>Statistics, Data Analysis, SQL, Business Analysis, Software Engineering</t>
  </si>
  <si>
    <t>7bdd420f-d678-4ab1-8fff-910cfa802fbc</t>
  </si>
  <si>
    <t>Software Engineering, Communication, SQL, Business Analysis, Statistics, Research</t>
  </si>
  <si>
    <t>a7648564-5678-4066-99d6-1c619e7b1252</t>
  </si>
  <si>
    <t>Cloud Computing, Business Analysis, Statistics, SQL, Communication, Python</t>
  </si>
  <si>
    <t>f7f52bae-1e3a-4eb4-b019-1e7572996148</t>
  </si>
  <si>
    <t>8943f3c7-0495-4e35-a6f8-eb6af6aeec57</t>
  </si>
  <si>
    <t>Python, SQL, Business Analysis, Data Analysis, Project Management</t>
  </si>
  <si>
    <t>c8cc6f0f-5e8b-415f-b0bb-735b07330c57</t>
  </si>
  <si>
    <t>SQL, Project Management, Business Analysis, Data Analysis</t>
  </si>
  <si>
    <t>c89afc7b-c7db-4038-b1c4-85a02e4d502a</t>
  </si>
  <si>
    <t>Research, SQL, Software Engineering, Cloud Computing</t>
  </si>
  <si>
    <t>1a2119d6-757d-4fe4-b044-9f152619ff31</t>
  </si>
  <si>
    <t>Research, Statistics, Data Analysis, Cloud Computing, Business Analysis</t>
  </si>
  <si>
    <t>09396595-af2b-482e-9625-c2ce4f4dd493</t>
  </si>
  <si>
    <t>Cloud Computing, Data Analysis, SQL, Software Engineering, Business Analysis, Python</t>
  </si>
  <si>
    <t>53768016-3ae8-4ef0-95ca-0a07b1daf870</t>
  </si>
  <si>
    <t>Project Management, Cloud Computing, Software Engineering</t>
  </si>
  <si>
    <t>2a1a39f4-d489-421e-828b-0d6704700f05</t>
  </si>
  <si>
    <t>Cloud Computing, Software Engineering, Research</t>
  </si>
  <si>
    <t>a6d43678-8abe-4678-8b31-09899a0a2505</t>
  </si>
  <si>
    <t>SQL, Statistics, Software Engineering, Research, Business Analysis, Project Management</t>
  </si>
  <si>
    <t>8e3e13f5-5265-4905-b2ca-97d75a0b82f4</t>
  </si>
  <si>
    <t>3638cfd2-d3bc-4625-afac-358e1ff6fabb</t>
  </si>
  <si>
    <t>SQL, Statistics, Project Management, Communication, Research, Data Analysis</t>
  </si>
  <si>
    <t>1431f42c-f709-4acf-bc2b-0f66526cfc9c</t>
  </si>
  <si>
    <t>Data Analysis, Software Engineering, Statistics, Communication, SQL, Business Analysis</t>
  </si>
  <si>
    <t>62e4b180-d008-41de-8642-497beccd4def</t>
  </si>
  <si>
    <t>Python, Statistics, Project Management, Data Analysis, Cloud Computing, Business Analysis</t>
  </si>
  <si>
    <t>d805ed7c-f344-416d-b996-f43ee5012207</t>
  </si>
  <si>
    <t>Python, SQL, Cloud Computing</t>
  </si>
  <si>
    <t>67a4a6c7-8a0d-41af-a37d-4f088c20f956</t>
  </si>
  <si>
    <t>Business Analysis, Cloud Computing, Research, Python</t>
  </si>
  <si>
    <t>75ac8663-4e97-4668-9d2c-1572db4234a7</t>
  </si>
  <si>
    <t>Communication, Statistics, Software Engineering, Research, Cloud Computing</t>
  </si>
  <si>
    <t>eaa26965-97fa-4774-8a02-76351bb03cd6</t>
  </si>
  <si>
    <t>Statistics, Communication, Research, Business Analysis, SQL, Software Engineering</t>
  </si>
  <si>
    <t>569cb3d8-8581-445d-a08d-5f02ac2133e3</t>
  </si>
  <si>
    <t>Python, Cloud Computing, Project Management, Communication, SQL, Business Analysis</t>
  </si>
  <si>
    <t>de722795-b511-4a43-9ee1-c19edba66eb5</t>
  </si>
  <si>
    <t>SQL, Project Management, Software Engineering, Statistics, Data Analysis, Business Analysis</t>
  </si>
  <si>
    <t>c24dc783-b4fa-49d9-895c-27a0916160da</t>
  </si>
  <si>
    <t>510a083d-c929-452e-bca9-2224547c3f26</t>
  </si>
  <si>
    <t>deep learning, NLP, computer vision, machine learning</t>
  </si>
  <si>
    <t>Cloud Computing, SQL, Communication, Software Engineering</t>
  </si>
  <si>
    <t>c4beb156-07bb-442d-abe1-e2e3aeddd550</t>
  </si>
  <si>
    <t>Data Analysis, Business Analysis, Software Engineering, SQL</t>
  </si>
  <si>
    <t>9512805c-7679-4b24-a3e7-52156c41798b</t>
  </si>
  <si>
    <t>Project Management, Cloud Computing, Python, Data Analysis, Statistics</t>
  </si>
  <si>
    <t>84d85cf5-51ff-4762-b5e8-42b65e8abe60</t>
  </si>
  <si>
    <t>Python, Research, Data Analysis</t>
  </si>
  <si>
    <t>158ca5dd-ed62-4c78-be1a-57afba356b0b</t>
  </si>
  <si>
    <t>Python, Statistics, Data Analysis, Software Engineering, SQL</t>
  </si>
  <si>
    <t>cb281b56-1b6a-462d-a15f-97300d0116ff</t>
  </si>
  <si>
    <t>Research, Statistics, SQL, Cloud Computing, Data Analysis, Software Engineering</t>
  </si>
  <si>
    <t>02038148-7a90-4291-9e32-23d3e495b516</t>
  </si>
  <si>
    <t>356aa7cf-7deb-4cba-9fd0-0e9f12b9e769</t>
  </si>
  <si>
    <t>Cloud Computing, Research, Communication, Business Analysis, Project Management, Statistics</t>
  </si>
  <si>
    <t>caf5edbd-b796-4332-b4c8-972b7e52b21a</t>
  </si>
  <si>
    <t>Software Engineering, Statistics, Data Analysis, Research, Python, SQL</t>
  </si>
  <si>
    <t>f4eda899-837e-46cc-87c4-2ea74cbf3ac7</t>
  </si>
  <si>
    <t>Python, Statistics, SQL, Project Management, Communication, Research</t>
  </si>
  <si>
    <t>53ed09fb-0b83-4a80-b2e5-e8f380c5a164</t>
  </si>
  <si>
    <t>Python, Communication, Business Analysis, Project Management, Statistics</t>
  </si>
  <si>
    <t>eea41741-9edd-4c3d-ba62-766e2090945a</t>
  </si>
  <si>
    <t>reinforcement learning, computer vision, machine learning, deep learning</t>
  </si>
  <si>
    <t>Project Management, SQL, Statistics, Business Analysis, Research</t>
  </si>
  <si>
    <t>205799b1-290e-4ab6-817a-07854db6215c</t>
  </si>
  <si>
    <t>Python, Research, Business Analysis, Statistics, Cloud Computing</t>
  </si>
  <si>
    <t>1de4aa0b-d689-4c76-9c6f-9e43c5320b0f</t>
  </si>
  <si>
    <t>SQL, Project Management, Software Engineering, Python, Cloud Computing, Business Analysis</t>
  </si>
  <si>
    <t>ca0a91a4-c1f2-4cfd-be14-a83ecfaff811</t>
  </si>
  <si>
    <t>Statistics, Communication, SQL</t>
  </si>
  <si>
    <t>88396197-5dc0-4b40-a881-c414a34088d7</t>
  </si>
  <si>
    <t>Python, Statistics, Business Analysis, Software Engineering, Project Management, Cloud Computing</t>
  </si>
  <si>
    <t>542124a0-2cea-43aa-8cb7-7c80e279e34a</t>
  </si>
  <si>
    <t>Communication, Research, Software Engineering</t>
  </si>
  <si>
    <t>546d60c7-84f0-4645-98ac-06b34831eab3</t>
  </si>
  <si>
    <t>da80282d-84fd-488d-bdbe-7ed357e95a4e</t>
  </si>
  <si>
    <t>Project Management, SQL, Business Analysis, Statistics</t>
  </si>
  <si>
    <t>8ebdd1b0-53f6-4656-b5f2-bd38402ed789</t>
  </si>
  <si>
    <t>Python, Cloud Computing, Communication, Software Engineering, Data Analysis, SQL</t>
  </si>
  <si>
    <t>42e699e7-784d-46dc-ab26-06816675f5de</t>
  </si>
  <si>
    <t>Project Management, SQL, Research, Python, Business Analysis</t>
  </si>
  <si>
    <t>22fad2c3-81a0-486d-93f9-8968f021993c</t>
  </si>
  <si>
    <t>dbbb7d10-3eae-43eb-ba87-a8acc93bece2</t>
  </si>
  <si>
    <t>Python, Statistics, SQL, Communication, Data Analysis, Project Management</t>
  </si>
  <si>
    <t>895e8453-0013-4525-8c09-7962fce852f3</t>
  </si>
  <si>
    <t>Statistics, SQL, Data Analysis, Cloud Computing</t>
  </si>
  <si>
    <t>29b4673a-47c5-4bff-b935-a0b0355de8cc</t>
  </si>
  <si>
    <t>Python, Software Engineering, Business Analysis, Statistics, SQL</t>
  </si>
  <si>
    <t>79aa7786-2b62-46d0-90fb-c7096eba6ff8</t>
  </si>
  <si>
    <t>Cloud Computing, Python, Business Analysis, Software Engineering, Data Analysis</t>
  </si>
  <si>
    <t>be913d77-70d9-463e-b8c3-a5546aa5c3fd</t>
  </si>
  <si>
    <t>SQL, Python, Research, Statistics, Business Analysis, Project Management</t>
  </si>
  <si>
    <t>6ba8cf52-8995-41e4-bc80-b31400e95a02</t>
  </si>
  <si>
    <t>Cloud Computing, Business Analysis, Software Engineering, Python, Data Analysis</t>
  </si>
  <si>
    <t>0f11e2b3-70ef-454a-be99-c253a5f38982</t>
  </si>
  <si>
    <t>Cloud Computing, Python, Project Management, Business Analysis, Communication, Research</t>
  </si>
  <si>
    <t>0d23a73e-d9c2-417d-abba-db1e513b7d36</t>
  </si>
  <si>
    <t>Data Analysis, Communication, SQL, Project Management</t>
  </si>
  <si>
    <t>5864ae01-4908-442e-b70d-e2947eb5266e</t>
  </si>
  <si>
    <t>Research, Project Management, Business Analysis, Python, Cloud Computing, Software Engineering</t>
  </si>
  <si>
    <t>4a83e29f-7eae-4f8b-9a0f-b8ebc1654a10</t>
  </si>
  <si>
    <t>Software Engineering, Python, Project Management, SQL, Communication, Business Analysis</t>
  </si>
  <si>
    <t>e4172c46-06c4-44d0-9d2b-34589f618847</t>
  </si>
  <si>
    <t>Project Management, Communication, Data Analysis, Research, Cloud Computing</t>
  </si>
  <si>
    <t>d9375a32-1f84-46be-b37f-d1600e9ba3fc</t>
  </si>
  <si>
    <t>Software Engineering, Project Management, SQL, Data Analysis, Statistics</t>
  </si>
  <si>
    <t>b7360321-f197-4656-8cc7-91e2d46ee37a</t>
  </si>
  <si>
    <t>Python, Business Analysis, Data Analysis, Statistics, Project Management, SQL</t>
  </si>
  <si>
    <t>f2e4f9c4-d248-4e30-85b6-dcd3b39995d0</t>
  </si>
  <si>
    <t>SQL, Data Analysis, Software Engineering, Project Management, Research</t>
  </si>
  <si>
    <t>30bf1bc1-ab15-4b40-8df2-7a6aaace56f8</t>
  </si>
  <si>
    <t>Statistics, Project Management, Research, Communication</t>
  </si>
  <si>
    <t>4d58a197-61dc-40c0-b59d-e973c989e2fb</t>
  </si>
  <si>
    <t>Research, Data Analysis, Python</t>
  </si>
  <si>
    <t>c326e290-7621-4132-ae37-6334fcaa63a7</t>
  </si>
  <si>
    <t>Statistics, Data Analysis, Research</t>
  </si>
  <si>
    <t>67c1ff26-6e41-4ae1-8b3e-a05b1c48f810</t>
  </si>
  <si>
    <t>Data Analysis, SQL, Statistics, Business Analysis</t>
  </si>
  <si>
    <t>ace2f695-bd92-4719-ad0d-45d08ffaa638</t>
  </si>
  <si>
    <t>machine learning, deep learning</t>
  </si>
  <si>
    <t>Software Engineering, Cloud Computing, Data Analysis, Statistics, SQL, Business Analysis</t>
  </si>
  <si>
    <t>e9b1d916-45af-43de-b4d8-de60d0ec624a</t>
  </si>
  <si>
    <t>Data Analysis, Communication, Statistics</t>
  </si>
  <si>
    <t>df8c6860-b83c-4456-91f5-225f9f52a46e</t>
  </si>
  <si>
    <t>Business Analysis, Software Engineering, Research, SQL, Communication</t>
  </si>
  <si>
    <t>0e14c8f1-6cfc-4c7d-96d6-9784d127888b</t>
  </si>
  <si>
    <t>computer vision, reinforcement learning, MLOps, deep learning</t>
  </si>
  <si>
    <t>Python, Project Management, SQL, Business Analysis</t>
  </si>
  <si>
    <t>0ee5f304-67d0-457f-af2e-236ae874cd7e</t>
  </si>
  <si>
    <t>d72386bf-805e-4357-9b1b-ebef4ccc4b01</t>
  </si>
  <si>
    <t>Data Analysis, Software Engineering, Business Analysis, SQL, Project Management</t>
  </si>
  <si>
    <t>87735b8c-0174-4f63-bee3-4a465c845e0e</t>
  </si>
  <si>
    <t>Research, Business Analysis, Statistics, Cloud Computing, Data Analysis</t>
  </si>
  <si>
    <t>d70a7945-a010-41af-9c2e-f0ea6b954937</t>
  </si>
  <si>
    <t>Research, Business Analysis, Communication, Software Engineering</t>
  </si>
  <si>
    <t>b290f526-b029-423d-a2ff-2d0619490a99</t>
  </si>
  <si>
    <t>Python, SQL, Business Analysis</t>
  </si>
  <si>
    <t>96d96af4-e6ec-4b53-aeaa-25001ab1f9a7</t>
  </si>
  <si>
    <t>9fc686af-ef4a-4cd5-ad8b-707ccf244cdf</t>
  </si>
  <si>
    <t>Cloud Computing, Communication, Software Engineering, SQL, Python</t>
  </si>
  <si>
    <t>aa7e6587-7a35-4c1c-a895-e8c5d6fd938a</t>
  </si>
  <si>
    <t>Data Analysis, SQL, Statistics, Python, Business Analysis, Project Management</t>
  </si>
  <si>
    <t>f7a45b96-b8a4-4ece-8afa-937a6995ab0c</t>
  </si>
  <si>
    <t>Cloud Computing, Business Analysis, Software Engineering, Communication, Statistics</t>
  </si>
  <si>
    <t>e81fff60-4d14-4bb3-b4d2-98375f1333ef</t>
  </si>
  <si>
    <t>Software Engineering, Research, Business Analysis, Data Analysis, SQL</t>
  </si>
  <si>
    <t>c14573ab-bda8-4a12-a65d-9a908b9345c1</t>
  </si>
  <si>
    <t>Python, Data Analysis, Cloud Computing, Communication, SQL</t>
  </si>
  <si>
    <t>af0a8661-6ad5-4679-9166-596671dabb4e</t>
  </si>
  <si>
    <t>Software Engineering, Communication, Research, Data Analysis, SQL</t>
  </si>
  <si>
    <t>c41a9305-8dd1-4716-8953-2be6a0f256d7</t>
  </si>
  <si>
    <t>Statistics, Communication, Business Analysis, Data Analysis, Project Management, Software Engineering</t>
  </si>
  <si>
    <t>87e6f4f5-16ce-4479-9ce4-6d3973e37e11</t>
  </si>
  <si>
    <t>industry_ai_adoption_stage</t>
  </si>
  <si>
    <t>job_description_embedding_cluster</t>
  </si>
  <si>
    <t>ai_job_displacement_risk</t>
  </si>
  <si>
    <t>reskilling_required</t>
  </si>
  <si>
    <t>automation_risk_score</t>
  </si>
  <si>
    <t>salary_change_vs_prev_year_percent</t>
  </si>
  <si>
    <t>salary_usd</t>
  </si>
  <si>
    <t>ai_skills</t>
  </si>
  <si>
    <t>core_skills</t>
  </si>
  <si>
    <t>ai_intensity_score</t>
  </si>
  <si>
    <t>ai_keywords</t>
  </si>
  <si>
    <t>ai_mentioned</t>
  </si>
  <si>
    <t>seniority_level</t>
  </si>
  <si>
    <t>job_title</t>
  </si>
  <si>
    <t>industry</t>
  </si>
  <si>
    <t>company_size</t>
  </si>
  <si>
    <t>company_name</t>
  </si>
  <si>
    <t>city</t>
  </si>
  <si>
    <t>region</t>
  </si>
  <si>
    <t>country</t>
  </si>
  <si>
    <t>posting_year</t>
  </si>
  <si>
    <t>job_id</t>
  </si>
  <si>
    <t>Salary</t>
  </si>
  <si>
    <t>Mean</t>
  </si>
  <si>
    <t>STD DEV</t>
  </si>
  <si>
    <t>Z-Score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</si>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</sst>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0" fontId="2" fillId="2" borderId="0" xfId="0" applyFont="1" applyFill="1"/>
  </cellXfs>
  <cellStyles count="1">
    <cellStyle name="Normal" xfId="0" builtinId="0"/>
  </cellStyles>
  <dxfs count="3"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Salary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Salary</a:t>
          </a:r>
        </a:p>
      </cx:txPr>
    </cx:title>
    <cx:plotArea>
      <cx:plotAreaRegion>
        <cx:series layoutId="boxWhisker" uniqueId="{A74B6DE0-C152-49A4-B98F-12BCA4FC2A2A}">
          <cx:tx>
            <cx:txData>
              <cx:f>_xlchart.v1.0</cx:f>
              <cx:v>salary_usd</cx:v>
            </cx:txData>
          </cx:tx>
          <cx:spPr>
            <a:solidFill>
              <a:schemeClr val="accent4"/>
            </a:solidFill>
          </cx:spPr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  <cx:spPr>
    <a:ln>
      <a:solidFill>
        <a:schemeClr val="accent1"/>
      </a:solidFill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Salary Change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Salary Change</a:t>
          </a:r>
        </a:p>
      </cx:txPr>
    </cx:title>
    <cx:plotArea>
      <cx:plotAreaRegion>
        <cx:series layoutId="boxWhisker" uniqueId="{2F6EA8C1-95FF-47FF-B091-30D889840E56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0</xdr:row>
      <xdr:rowOff>152399</xdr:rowOff>
    </xdr:from>
    <xdr:to>
      <xdr:col>14</xdr:col>
      <xdr:colOff>304800</xdr:colOff>
      <xdr:row>22</xdr:row>
      <xdr:rowOff>123824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B1FFA4AC-7D02-1D64-CA24-F71670794E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43525" y="152399"/>
              <a:ext cx="6096000" cy="4162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3</xdr:row>
      <xdr:rowOff>180975</xdr:rowOff>
    </xdr:from>
    <xdr:to>
      <xdr:col>14</xdr:col>
      <xdr:colOff>476250</xdr:colOff>
      <xdr:row>28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6D90625-F012-7CE9-6650-207C22EF97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19850" y="752475"/>
              <a:ext cx="6153150" cy="4629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C41030-5ACB-4F73-A8D5-4FB22DB14DF1}" name="Table13" displayName="Table13" ref="A1:V1000" totalsRowShown="0" headerRowDxfId="2" headerRowBorderDxfId="1" tableBorderDxfId="0">
  <autoFilter ref="A1:V1000" xr:uid="{B6A2976B-0D46-41EA-B91E-6707C2698793}"/>
  <sortState xmlns:xlrd2="http://schemas.microsoft.com/office/spreadsheetml/2017/richdata2" ref="A2:V1000">
    <sortCondition ref="B1:B1000"/>
  </sortState>
  <tableColumns count="22">
    <tableColumn id="1" xr3:uid="{625C6314-F500-4386-B13C-EF690E47387C}" name="job_id"/>
    <tableColumn id="2" xr3:uid="{5BE67D08-0F1D-4C51-9659-CE77B47DBF01}" name="posting_year"/>
    <tableColumn id="3" xr3:uid="{07C3E180-1393-4AF9-9E52-6F2160C0D413}" name="country"/>
    <tableColumn id="4" xr3:uid="{4C8BF5B3-35C9-4173-B6B8-A0F62B8172B9}" name="region"/>
    <tableColumn id="5" xr3:uid="{59D67D07-681C-4AB1-8102-EA01877A36B1}" name="city"/>
    <tableColumn id="6" xr3:uid="{CB86DAB2-2B45-4648-996F-841C22DBCC5D}" name="company_name"/>
    <tableColumn id="7" xr3:uid="{04781887-A9C2-4F5C-8B23-4E522417A182}" name="company_size"/>
    <tableColumn id="8" xr3:uid="{E6C1C8F7-614D-4C0C-B5FB-585AEE4C0446}" name="industry"/>
    <tableColumn id="9" xr3:uid="{02327863-9007-4506-B9B2-857C6A632951}" name="job_title"/>
    <tableColumn id="10" xr3:uid="{E1386310-D1D2-4EB0-8348-7098878233A7}" name="seniority_level"/>
    <tableColumn id="11" xr3:uid="{98B84987-DC08-4164-9D7C-3EB4FBB0E979}" name="ai_mentioned"/>
    <tableColumn id="12" xr3:uid="{60E015F8-EE2C-4ABB-93D7-34E165F0B82E}" name="ai_keywords"/>
    <tableColumn id="13" xr3:uid="{13BF7D68-91A8-4F3A-A4BF-F378D0FFFF3D}" name="ai_intensity_score"/>
    <tableColumn id="14" xr3:uid="{07ED9AC1-B862-495A-9256-3585925655CE}" name="core_skills"/>
    <tableColumn id="15" xr3:uid="{A5F412DA-A8C8-4814-9F51-59C790E67CC3}" name="ai_skills"/>
    <tableColumn id="16" xr3:uid="{DB7B2E4F-2FF7-4194-A5D3-219DE61275DB}" name="salary_usd"/>
    <tableColumn id="17" xr3:uid="{A4414E66-34A9-4878-A663-74234BA4490D}" name="salary_change_vs_prev_year_percent"/>
    <tableColumn id="18" xr3:uid="{3C55E431-7254-43B9-B72D-B8DB9F2D84D4}" name="automation_risk_score"/>
    <tableColumn id="19" xr3:uid="{C9A595F5-D7D0-4B44-A759-6060B2D463C7}" name="reskilling_required"/>
    <tableColumn id="20" xr3:uid="{1D39A657-59EB-415D-9B4F-4DE4D933A958}" name="ai_job_displacement_risk"/>
    <tableColumn id="21" xr3:uid="{74C6BC35-DA59-4191-BD11-B0E00002946E}" name="job_description_embedding_cluster"/>
    <tableColumn id="22" xr3:uid="{9D86DED5-5C6A-4C13-B0BB-AF28163BCB32}" name="industry_ai_adoption_stag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1F71A-05DA-4A93-BE34-3DE3BF36840D}">
  <dimension ref="A1:V4947"/>
  <sheetViews>
    <sheetView topLeftCell="N1" workbookViewId="0">
      <selection activeCell="Q1" sqref="Q1:Q1048576"/>
    </sheetView>
  </sheetViews>
  <sheetFormatPr defaultRowHeight="15" x14ac:dyDescent="0.25"/>
  <cols>
    <col min="1" max="1" width="12.7109375" customWidth="1"/>
    <col min="2" max="2" width="13.5703125" customWidth="1"/>
    <col min="3" max="3" width="12.28515625" customWidth="1"/>
    <col min="4" max="4" width="13.85546875" customWidth="1"/>
    <col min="5" max="5" width="10.7109375" customWidth="1"/>
    <col min="6" max="6" width="19.5703125" customWidth="1"/>
    <col min="7" max="7" width="14.42578125" customWidth="1"/>
    <col min="8" max="8" width="13" customWidth="1"/>
    <col min="9" max="9" width="18.85546875" customWidth="1"/>
    <col min="10" max="10" width="15" customWidth="1"/>
    <col min="11" max="11" width="14.42578125" customWidth="1"/>
    <col min="12" max="12" width="38.42578125" customWidth="1"/>
    <col min="13" max="13" width="18" customWidth="1"/>
    <col min="14" max="14" width="89.42578125" customWidth="1"/>
    <col min="15" max="15" width="39.140625" customWidth="1"/>
    <col min="16" max="16" width="16" customWidth="1"/>
    <col min="17" max="17" width="34" customWidth="1"/>
    <col min="18" max="18" width="22" customWidth="1"/>
    <col min="19" max="19" width="18.42578125" customWidth="1"/>
    <col min="20" max="20" width="24.140625" customWidth="1"/>
    <col min="21" max="21" width="32.85546875" customWidth="1"/>
    <col min="22" max="22" width="26.28515625" customWidth="1"/>
  </cols>
  <sheetData>
    <row r="1" spans="1:22" ht="28.35" customHeight="1" x14ac:dyDescent="0.25">
      <c r="A1" s="2" t="s">
        <v>2289</v>
      </c>
      <c r="B1" s="2" t="s">
        <v>2288</v>
      </c>
      <c r="C1" s="2" t="s">
        <v>2287</v>
      </c>
      <c r="D1" s="2" t="s">
        <v>2286</v>
      </c>
      <c r="E1" s="2" t="s">
        <v>2285</v>
      </c>
      <c r="F1" s="2" t="s">
        <v>2284</v>
      </c>
      <c r="G1" s="2" t="s">
        <v>2283</v>
      </c>
      <c r="H1" s="2" t="s">
        <v>2282</v>
      </c>
      <c r="I1" s="2" t="s">
        <v>2281</v>
      </c>
      <c r="J1" s="2" t="s">
        <v>2280</v>
      </c>
      <c r="K1" s="2" t="s">
        <v>2279</v>
      </c>
      <c r="L1" s="2" t="s">
        <v>2278</v>
      </c>
      <c r="M1" s="2" t="s">
        <v>2277</v>
      </c>
      <c r="N1" s="2" t="s">
        <v>2276</v>
      </c>
      <c r="O1" s="2" t="s">
        <v>2275</v>
      </c>
      <c r="P1" s="2" t="s">
        <v>2274</v>
      </c>
      <c r="Q1" s="2" t="s">
        <v>2273</v>
      </c>
      <c r="R1" s="2" t="s">
        <v>2272</v>
      </c>
      <c r="S1" s="2" t="s">
        <v>2271</v>
      </c>
      <c r="T1" s="2" t="s">
        <v>2270</v>
      </c>
      <c r="U1" s="2" t="s">
        <v>2269</v>
      </c>
      <c r="V1" s="2" t="s">
        <v>2268</v>
      </c>
    </row>
    <row r="2" spans="1:22" x14ac:dyDescent="0.25">
      <c r="A2" t="s">
        <v>2267</v>
      </c>
      <c r="B2">
        <v>2010</v>
      </c>
      <c r="C2" t="s">
        <v>358</v>
      </c>
      <c r="D2" t="s">
        <v>131</v>
      </c>
      <c r="E2" t="s">
        <v>17</v>
      </c>
      <c r="F2" t="s">
        <v>41</v>
      </c>
      <c r="G2" t="s">
        <v>25</v>
      </c>
      <c r="H2" t="s">
        <v>61</v>
      </c>
      <c r="I2" t="s">
        <v>107</v>
      </c>
      <c r="J2" t="s">
        <v>2</v>
      </c>
      <c r="K2">
        <v>0</v>
      </c>
      <c r="M2">
        <v>0.01</v>
      </c>
      <c r="N2" t="s">
        <v>2266</v>
      </c>
      <c r="P2">
        <v>31284</v>
      </c>
      <c r="Q2">
        <v>-3.64</v>
      </c>
      <c r="R2">
        <v>0.74</v>
      </c>
      <c r="S2" t="b">
        <v>0</v>
      </c>
      <c r="T2">
        <v>1</v>
      </c>
      <c r="U2">
        <v>15</v>
      </c>
      <c r="V2" t="s">
        <v>1381</v>
      </c>
    </row>
    <row r="3" spans="1:22" x14ac:dyDescent="0.25">
      <c r="A3" t="s">
        <v>2265</v>
      </c>
      <c r="B3">
        <v>2010</v>
      </c>
      <c r="C3" t="s">
        <v>137</v>
      </c>
      <c r="D3" t="s">
        <v>43</v>
      </c>
      <c r="E3" t="s">
        <v>121</v>
      </c>
      <c r="F3" t="s">
        <v>156</v>
      </c>
      <c r="G3" t="s">
        <v>135</v>
      </c>
      <c r="H3" t="s">
        <v>141</v>
      </c>
      <c r="I3" t="s">
        <v>24</v>
      </c>
      <c r="J3" t="s">
        <v>23</v>
      </c>
      <c r="K3">
        <v>0</v>
      </c>
      <c r="M3">
        <v>0.19</v>
      </c>
      <c r="N3" t="s">
        <v>2264</v>
      </c>
      <c r="P3">
        <v>60960</v>
      </c>
      <c r="Q3">
        <v>1.97</v>
      </c>
      <c r="R3">
        <v>0.64</v>
      </c>
      <c r="S3" t="b">
        <v>0</v>
      </c>
      <c r="T3">
        <v>1</v>
      </c>
      <c r="U3">
        <v>8</v>
      </c>
      <c r="V3" t="s">
        <v>1381</v>
      </c>
    </row>
    <row r="4" spans="1:22" x14ac:dyDescent="0.25">
      <c r="A4" t="s">
        <v>2263</v>
      </c>
      <c r="B4">
        <v>2010</v>
      </c>
      <c r="C4" t="s">
        <v>413</v>
      </c>
      <c r="D4" t="s">
        <v>8</v>
      </c>
      <c r="E4" t="s">
        <v>50</v>
      </c>
      <c r="F4" t="s">
        <v>69</v>
      </c>
      <c r="G4" t="s">
        <v>135</v>
      </c>
      <c r="H4" t="s">
        <v>85</v>
      </c>
      <c r="I4" t="s">
        <v>68</v>
      </c>
      <c r="J4" t="s">
        <v>23</v>
      </c>
      <c r="K4">
        <v>0</v>
      </c>
      <c r="M4">
        <v>0.11</v>
      </c>
      <c r="N4" t="s">
        <v>2262</v>
      </c>
      <c r="P4">
        <v>21791</v>
      </c>
      <c r="Q4">
        <v>-3.9</v>
      </c>
      <c r="R4">
        <v>0.86</v>
      </c>
      <c r="S4" t="b">
        <v>0</v>
      </c>
      <c r="T4">
        <v>3</v>
      </c>
      <c r="U4">
        <v>13</v>
      </c>
      <c r="V4" t="s">
        <v>1381</v>
      </c>
    </row>
    <row r="5" spans="1:22" x14ac:dyDescent="0.25">
      <c r="A5" t="s">
        <v>2261</v>
      </c>
      <c r="B5">
        <v>2010</v>
      </c>
      <c r="C5" t="s">
        <v>152</v>
      </c>
      <c r="D5" t="s">
        <v>28</v>
      </c>
      <c r="E5" t="s">
        <v>219</v>
      </c>
      <c r="F5" t="s">
        <v>55</v>
      </c>
      <c r="G5" t="s">
        <v>62</v>
      </c>
      <c r="H5" t="s">
        <v>15</v>
      </c>
      <c r="I5" t="s">
        <v>14</v>
      </c>
      <c r="J5" t="s">
        <v>2</v>
      </c>
      <c r="K5">
        <v>0</v>
      </c>
      <c r="M5">
        <v>0.08</v>
      </c>
      <c r="N5" t="s">
        <v>2260</v>
      </c>
      <c r="P5">
        <v>31890</v>
      </c>
      <c r="Q5">
        <v>0.02</v>
      </c>
      <c r="R5">
        <v>0.78</v>
      </c>
      <c r="S5" t="b">
        <v>0</v>
      </c>
      <c r="T5">
        <v>2</v>
      </c>
      <c r="U5">
        <v>17</v>
      </c>
      <c r="V5" t="s">
        <v>1381</v>
      </c>
    </row>
    <row r="6" spans="1:22" x14ac:dyDescent="0.25">
      <c r="A6" t="s">
        <v>2259</v>
      </c>
      <c r="B6">
        <v>2010</v>
      </c>
      <c r="C6" t="s">
        <v>104</v>
      </c>
      <c r="D6" t="s">
        <v>8</v>
      </c>
      <c r="E6" t="s">
        <v>7</v>
      </c>
      <c r="F6" t="s">
        <v>108</v>
      </c>
      <c r="G6" t="s">
        <v>135</v>
      </c>
      <c r="H6" t="s">
        <v>34</v>
      </c>
      <c r="I6" t="s">
        <v>68</v>
      </c>
      <c r="J6" t="s">
        <v>23</v>
      </c>
      <c r="K6">
        <v>0</v>
      </c>
      <c r="M6">
        <v>0.02</v>
      </c>
      <c r="N6" t="s">
        <v>2258</v>
      </c>
      <c r="P6">
        <v>22997</v>
      </c>
      <c r="Q6">
        <v>-0.21</v>
      </c>
      <c r="R6">
        <v>0.67</v>
      </c>
      <c r="S6" t="b">
        <v>0</v>
      </c>
      <c r="T6">
        <v>2</v>
      </c>
      <c r="U6">
        <v>9</v>
      </c>
      <c r="V6" t="s">
        <v>1381</v>
      </c>
    </row>
    <row r="7" spans="1:22" x14ac:dyDescent="0.25">
      <c r="A7" t="s">
        <v>2257</v>
      </c>
      <c r="B7">
        <v>2010</v>
      </c>
      <c r="C7" t="s">
        <v>98</v>
      </c>
      <c r="D7" t="s">
        <v>43</v>
      </c>
      <c r="E7" t="s">
        <v>7</v>
      </c>
      <c r="F7" t="s">
        <v>108</v>
      </c>
      <c r="G7" t="s">
        <v>25</v>
      </c>
      <c r="H7" t="s">
        <v>34</v>
      </c>
      <c r="I7" t="s">
        <v>14</v>
      </c>
      <c r="J7" t="s">
        <v>73</v>
      </c>
      <c r="K7">
        <v>0</v>
      </c>
      <c r="M7">
        <v>0.16</v>
      </c>
      <c r="N7" t="s">
        <v>2256</v>
      </c>
      <c r="P7">
        <v>65776</v>
      </c>
      <c r="Q7">
        <v>4.29</v>
      </c>
      <c r="R7">
        <v>0.69</v>
      </c>
      <c r="S7" t="b">
        <v>0</v>
      </c>
      <c r="T7">
        <v>1</v>
      </c>
      <c r="U7">
        <v>2</v>
      </c>
      <c r="V7" t="s">
        <v>1381</v>
      </c>
    </row>
    <row r="8" spans="1:22" x14ac:dyDescent="0.25">
      <c r="A8" t="s">
        <v>2255</v>
      </c>
      <c r="B8">
        <v>2010</v>
      </c>
      <c r="C8" t="s">
        <v>9</v>
      </c>
      <c r="D8" t="s">
        <v>8</v>
      </c>
      <c r="E8" t="s">
        <v>7</v>
      </c>
      <c r="F8" t="s">
        <v>108</v>
      </c>
      <c r="G8" t="s">
        <v>5</v>
      </c>
      <c r="H8" t="s">
        <v>85</v>
      </c>
      <c r="I8" t="s">
        <v>74</v>
      </c>
      <c r="J8" t="s">
        <v>2</v>
      </c>
      <c r="K8">
        <v>0</v>
      </c>
      <c r="M8">
        <v>0.02</v>
      </c>
      <c r="N8" t="s">
        <v>2254</v>
      </c>
      <c r="P8">
        <v>22406</v>
      </c>
      <c r="Q8">
        <v>4.05</v>
      </c>
      <c r="R8">
        <v>0.89</v>
      </c>
      <c r="S8" t="b">
        <v>0</v>
      </c>
      <c r="T8">
        <v>1</v>
      </c>
      <c r="U8">
        <v>13</v>
      </c>
      <c r="V8" t="s">
        <v>1381</v>
      </c>
    </row>
    <row r="9" spans="1:22" x14ac:dyDescent="0.25">
      <c r="A9" t="s">
        <v>2253</v>
      </c>
      <c r="B9">
        <v>2010</v>
      </c>
      <c r="C9" t="s">
        <v>152</v>
      </c>
      <c r="D9" t="s">
        <v>28</v>
      </c>
      <c r="E9" t="s">
        <v>121</v>
      </c>
      <c r="F9" t="s">
        <v>26</v>
      </c>
      <c r="G9" t="s">
        <v>16</v>
      </c>
      <c r="H9" t="s">
        <v>102</v>
      </c>
      <c r="I9" t="s">
        <v>68</v>
      </c>
      <c r="J9" t="s">
        <v>73</v>
      </c>
      <c r="K9">
        <v>0</v>
      </c>
      <c r="M9">
        <v>0.09</v>
      </c>
      <c r="N9" t="s">
        <v>1642</v>
      </c>
      <c r="P9">
        <v>33771</v>
      </c>
      <c r="Q9">
        <v>-3.5</v>
      </c>
      <c r="R9">
        <v>0.88</v>
      </c>
      <c r="S9" t="b">
        <v>0</v>
      </c>
      <c r="T9">
        <v>1</v>
      </c>
      <c r="U9">
        <v>18</v>
      </c>
      <c r="V9" t="s">
        <v>1381</v>
      </c>
    </row>
    <row r="10" spans="1:22" x14ac:dyDescent="0.25">
      <c r="A10" t="s">
        <v>2252</v>
      </c>
      <c r="B10">
        <v>2010</v>
      </c>
      <c r="C10" t="s">
        <v>311</v>
      </c>
      <c r="D10" t="s">
        <v>125</v>
      </c>
      <c r="E10" t="s">
        <v>42</v>
      </c>
      <c r="F10" t="s">
        <v>80</v>
      </c>
      <c r="G10" t="s">
        <v>135</v>
      </c>
      <c r="H10" t="s">
        <v>141</v>
      </c>
      <c r="I10" t="s">
        <v>33</v>
      </c>
      <c r="J10" t="s">
        <v>96</v>
      </c>
      <c r="K10">
        <v>0</v>
      </c>
      <c r="M10">
        <v>0.14000000000000001</v>
      </c>
      <c r="N10" t="s">
        <v>2251</v>
      </c>
      <c r="P10">
        <v>19577</v>
      </c>
      <c r="Q10">
        <v>-1.25</v>
      </c>
      <c r="R10">
        <v>0.79</v>
      </c>
      <c r="S10" t="b">
        <v>0</v>
      </c>
      <c r="T10">
        <v>2</v>
      </c>
      <c r="U10">
        <v>12</v>
      </c>
      <c r="V10" t="s">
        <v>1381</v>
      </c>
    </row>
    <row r="11" spans="1:22" x14ac:dyDescent="0.25">
      <c r="A11" t="s">
        <v>2250</v>
      </c>
      <c r="B11">
        <v>2010</v>
      </c>
      <c r="C11" t="s">
        <v>287</v>
      </c>
      <c r="D11" t="s">
        <v>43</v>
      </c>
      <c r="E11" t="s">
        <v>130</v>
      </c>
      <c r="F11" t="s">
        <v>124</v>
      </c>
      <c r="G11" t="s">
        <v>25</v>
      </c>
      <c r="H11" t="s">
        <v>4</v>
      </c>
      <c r="I11" t="s">
        <v>24</v>
      </c>
      <c r="J11" t="s">
        <v>23</v>
      </c>
      <c r="K11">
        <v>0</v>
      </c>
      <c r="M11">
        <v>0.17</v>
      </c>
      <c r="N11" t="s">
        <v>2249</v>
      </c>
      <c r="P11">
        <v>66649</v>
      </c>
      <c r="Q11">
        <v>-4.25</v>
      </c>
      <c r="R11">
        <v>0.75</v>
      </c>
      <c r="S11" t="b">
        <v>0</v>
      </c>
      <c r="T11">
        <v>1</v>
      </c>
      <c r="U11">
        <v>2</v>
      </c>
      <c r="V11" t="s">
        <v>1381</v>
      </c>
    </row>
    <row r="12" spans="1:22" x14ac:dyDescent="0.25">
      <c r="A12" t="s">
        <v>2248</v>
      </c>
      <c r="B12">
        <v>2010</v>
      </c>
      <c r="C12" t="s">
        <v>348</v>
      </c>
      <c r="D12" t="s">
        <v>64</v>
      </c>
      <c r="E12" t="s">
        <v>147</v>
      </c>
      <c r="F12" t="s">
        <v>108</v>
      </c>
      <c r="G12" t="s">
        <v>16</v>
      </c>
      <c r="H12" t="s">
        <v>141</v>
      </c>
      <c r="I12" t="s">
        <v>90</v>
      </c>
      <c r="J12" t="s">
        <v>73</v>
      </c>
      <c r="K12">
        <v>0</v>
      </c>
      <c r="M12">
        <v>0.08</v>
      </c>
      <c r="N12" t="s">
        <v>2247</v>
      </c>
      <c r="P12">
        <v>63813</v>
      </c>
      <c r="Q12">
        <v>3.04</v>
      </c>
      <c r="R12">
        <v>0.72</v>
      </c>
      <c r="S12" t="b">
        <v>0</v>
      </c>
      <c r="T12">
        <v>3</v>
      </c>
      <c r="U12">
        <v>12</v>
      </c>
      <c r="V12" t="s">
        <v>1381</v>
      </c>
    </row>
    <row r="13" spans="1:22" x14ac:dyDescent="0.25">
      <c r="A13" t="s">
        <v>2246</v>
      </c>
      <c r="B13">
        <v>2010</v>
      </c>
      <c r="C13" t="s">
        <v>161</v>
      </c>
      <c r="D13" t="s">
        <v>8</v>
      </c>
      <c r="E13" t="s">
        <v>130</v>
      </c>
      <c r="F13" t="s">
        <v>41</v>
      </c>
      <c r="G13" t="s">
        <v>5</v>
      </c>
      <c r="H13" t="s">
        <v>34</v>
      </c>
      <c r="I13" t="s">
        <v>90</v>
      </c>
      <c r="J13" t="s">
        <v>73</v>
      </c>
      <c r="K13">
        <v>0</v>
      </c>
      <c r="M13">
        <v>7.0000000000000007E-2</v>
      </c>
      <c r="N13" t="s">
        <v>2245</v>
      </c>
      <c r="P13">
        <v>20676</v>
      </c>
      <c r="Q13">
        <v>-2.4</v>
      </c>
      <c r="R13">
        <v>0.76</v>
      </c>
      <c r="S13" t="b">
        <v>0</v>
      </c>
      <c r="T13">
        <v>3</v>
      </c>
      <c r="U13">
        <v>11</v>
      </c>
      <c r="V13" t="s">
        <v>1381</v>
      </c>
    </row>
    <row r="14" spans="1:22" x14ac:dyDescent="0.25">
      <c r="A14" t="s">
        <v>2244</v>
      </c>
      <c r="B14">
        <v>2010</v>
      </c>
      <c r="C14" t="s">
        <v>304</v>
      </c>
      <c r="D14" t="s">
        <v>131</v>
      </c>
      <c r="E14" t="s">
        <v>86</v>
      </c>
      <c r="F14" t="s">
        <v>115</v>
      </c>
      <c r="G14" t="s">
        <v>25</v>
      </c>
      <c r="H14" t="s">
        <v>15</v>
      </c>
      <c r="I14" t="s">
        <v>14</v>
      </c>
      <c r="J14" t="s">
        <v>96</v>
      </c>
      <c r="K14">
        <v>0</v>
      </c>
      <c r="M14">
        <v>7.0000000000000007E-2</v>
      </c>
      <c r="N14" t="s">
        <v>1860</v>
      </c>
      <c r="P14">
        <v>29851</v>
      </c>
      <c r="Q14">
        <v>3.74</v>
      </c>
      <c r="R14">
        <v>0.69</v>
      </c>
      <c r="S14" t="b">
        <v>0</v>
      </c>
      <c r="T14">
        <v>3</v>
      </c>
      <c r="U14">
        <v>16</v>
      </c>
      <c r="V14" t="s">
        <v>1381</v>
      </c>
    </row>
    <row r="15" spans="1:22" x14ac:dyDescent="0.25">
      <c r="A15" t="s">
        <v>2243</v>
      </c>
      <c r="B15">
        <v>2010</v>
      </c>
      <c r="C15" t="s">
        <v>51</v>
      </c>
      <c r="D15" t="s">
        <v>18</v>
      </c>
      <c r="E15" t="s">
        <v>182</v>
      </c>
      <c r="F15" t="s">
        <v>136</v>
      </c>
      <c r="G15" t="s">
        <v>16</v>
      </c>
      <c r="H15" t="s">
        <v>61</v>
      </c>
      <c r="I15" t="s">
        <v>33</v>
      </c>
      <c r="J15" t="s">
        <v>2</v>
      </c>
      <c r="K15">
        <v>1</v>
      </c>
      <c r="L15" t="s">
        <v>2241</v>
      </c>
      <c r="M15">
        <v>0.74</v>
      </c>
      <c r="N15" t="s">
        <v>2242</v>
      </c>
      <c r="O15" t="s">
        <v>2241</v>
      </c>
      <c r="P15">
        <v>87947</v>
      </c>
      <c r="Q15">
        <v>-1.39</v>
      </c>
      <c r="R15">
        <v>0.3</v>
      </c>
      <c r="S15" t="b">
        <v>1</v>
      </c>
      <c r="T15">
        <v>1</v>
      </c>
      <c r="U15">
        <v>6</v>
      </c>
      <c r="V15" t="s">
        <v>1381</v>
      </c>
    </row>
    <row r="16" spans="1:22" x14ac:dyDescent="0.25">
      <c r="A16" t="s">
        <v>2240</v>
      </c>
      <c r="B16">
        <v>2010</v>
      </c>
      <c r="C16" t="s">
        <v>333</v>
      </c>
      <c r="D16" t="s">
        <v>28</v>
      </c>
      <c r="E16" t="s">
        <v>42</v>
      </c>
      <c r="F16" t="s">
        <v>63</v>
      </c>
      <c r="G16" t="s">
        <v>25</v>
      </c>
      <c r="H16" t="s">
        <v>15</v>
      </c>
      <c r="I16" t="s">
        <v>14</v>
      </c>
      <c r="J16" t="s">
        <v>73</v>
      </c>
      <c r="K16">
        <v>0</v>
      </c>
      <c r="M16">
        <v>0.04</v>
      </c>
      <c r="N16" t="s">
        <v>2239</v>
      </c>
      <c r="P16">
        <v>30828</v>
      </c>
      <c r="Q16">
        <v>0.95</v>
      </c>
      <c r="R16">
        <v>0.62</v>
      </c>
      <c r="S16" t="b">
        <v>0</v>
      </c>
      <c r="T16">
        <v>1</v>
      </c>
      <c r="U16">
        <v>1</v>
      </c>
      <c r="V16" t="s">
        <v>1381</v>
      </c>
    </row>
    <row r="17" spans="1:22" x14ac:dyDescent="0.25">
      <c r="A17" t="s">
        <v>2238</v>
      </c>
      <c r="B17">
        <v>2010</v>
      </c>
      <c r="C17" t="s">
        <v>137</v>
      </c>
      <c r="D17" t="s">
        <v>43</v>
      </c>
      <c r="E17" t="s">
        <v>116</v>
      </c>
      <c r="F17" t="s">
        <v>124</v>
      </c>
      <c r="G17" t="s">
        <v>62</v>
      </c>
      <c r="H17" t="s">
        <v>15</v>
      </c>
      <c r="I17" t="s">
        <v>90</v>
      </c>
      <c r="J17" t="s">
        <v>13</v>
      </c>
      <c r="K17">
        <v>0</v>
      </c>
      <c r="M17">
        <v>0.08</v>
      </c>
      <c r="N17" t="s">
        <v>2237</v>
      </c>
      <c r="P17">
        <v>63343</v>
      </c>
      <c r="Q17">
        <v>-0.97</v>
      </c>
      <c r="R17">
        <v>0.83</v>
      </c>
      <c r="S17" t="b">
        <v>0</v>
      </c>
      <c r="T17">
        <v>3</v>
      </c>
      <c r="U17">
        <v>19</v>
      </c>
      <c r="V17" t="s">
        <v>1381</v>
      </c>
    </row>
    <row r="18" spans="1:22" x14ac:dyDescent="0.25">
      <c r="A18" t="s">
        <v>2236</v>
      </c>
      <c r="B18">
        <v>2010</v>
      </c>
      <c r="C18" t="s">
        <v>378</v>
      </c>
      <c r="D18" t="s">
        <v>43</v>
      </c>
      <c r="E18" t="s">
        <v>42</v>
      </c>
      <c r="F18" t="s">
        <v>63</v>
      </c>
      <c r="G18" t="s">
        <v>5</v>
      </c>
      <c r="H18" t="s">
        <v>49</v>
      </c>
      <c r="I18" t="s">
        <v>14</v>
      </c>
      <c r="J18" t="s">
        <v>13</v>
      </c>
      <c r="K18">
        <v>1</v>
      </c>
      <c r="L18" t="s">
        <v>2234</v>
      </c>
      <c r="M18">
        <v>0.92</v>
      </c>
      <c r="N18" t="s">
        <v>2235</v>
      </c>
      <c r="O18" t="s">
        <v>2234</v>
      </c>
      <c r="P18">
        <v>74564</v>
      </c>
      <c r="Q18">
        <v>-3.26</v>
      </c>
      <c r="R18">
        <v>0.26</v>
      </c>
      <c r="S18" t="b">
        <v>1</v>
      </c>
      <c r="T18">
        <v>2</v>
      </c>
      <c r="U18">
        <v>5</v>
      </c>
      <c r="V18" t="s">
        <v>1381</v>
      </c>
    </row>
    <row r="19" spans="1:22" x14ac:dyDescent="0.25">
      <c r="A19" t="s">
        <v>2233</v>
      </c>
      <c r="B19">
        <v>2010</v>
      </c>
      <c r="C19" t="s">
        <v>311</v>
      </c>
      <c r="D19" t="s">
        <v>125</v>
      </c>
      <c r="E19" t="s">
        <v>116</v>
      </c>
      <c r="F19" t="s">
        <v>26</v>
      </c>
      <c r="G19" t="s">
        <v>25</v>
      </c>
      <c r="H19" t="s">
        <v>61</v>
      </c>
      <c r="I19" t="s">
        <v>74</v>
      </c>
      <c r="J19" t="s">
        <v>96</v>
      </c>
      <c r="K19">
        <v>0</v>
      </c>
      <c r="M19">
        <v>0.05</v>
      </c>
      <c r="N19" t="s">
        <v>2232</v>
      </c>
      <c r="P19">
        <v>19290</v>
      </c>
      <c r="Q19">
        <v>4.51</v>
      </c>
      <c r="R19">
        <v>0.85</v>
      </c>
      <c r="S19" t="b">
        <v>0</v>
      </c>
      <c r="T19">
        <v>1</v>
      </c>
      <c r="U19">
        <v>16</v>
      </c>
      <c r="V19" t="s">
        <v>1381</v>
      </c>
    </row>
    <row r="20" spans="1:22" x14ac:dyDescent="0.25">
      <c r="A20" t="s">
        <v>2231</v>
      </c>
      <c r="B20">
        <v>2010</v>
      </c>
      <c r="C20" t="s">
        <v>92</v>
      </c>
      <c r="D20" t="s">
        <v>91</v>
      </c>
      <c r="E20" t="s">
        <v>147</v>
      </c>
      <c r="F20" t="s">
        <v>26</v>
      </c>
      <c r="G20" t="s">
        <v>135</v>
      </c>
      <c r="H20" t="s">
        <v>4</v>
      </c>
      <c r="I20" t="s">
        <v>3</v>
      </c>
      <c r="J20" t="s">
        <v>2</v>
      </c>
      <c r="K20">
        <v>0</v>
      </c>
      <c r="M20">
        <v>0.08</v>
      </c>
      <c r="N20" t="s">
        <v>2230</v>
      </c>
      <c r="P20">
        <v>53320</v>
      </c>
      <c r="Q20">
        <v>2.86</v>
      </c>
      <c r="R20">
        <v>0.74</v>
      </c>
      <c r="S20" t="b">
        <v>0</v>
      </c>
      <c r="T20">
        <v>2</v>
      </c>
      <c r="U20">
        <v>11</v>
      </c>
      <c r="V20" t="s">
        <v>1381</v>
      </c>
    </row>
    <row r="21" spans="1:22" x14ac:dyDescent="0.25">
      <c r="A21" t="s">
        <v>2229</v>
      </c>
      <c r="B21">
        <v>2010</v>
      </c>
      <c r="C21" t="s">
        <v>333</v>
      </c>
      <c r="D21" t="s">
        <v>28</v>
      </c>
      <c r="E21" t="s">
        <v>50</v>
      </c>
      <c r="F21" t="s">
        <v>69</v>
      </c>
      <c r="G21" t="s">
        <v>62</v>
      </c>
      <c r="H21" t="s">
        <v>179</v>
      </c>
      <c r="I21" t="s">
        <v>97</v>
      </c>
      <c r="J21" t="s">
        <v>96</v>
      </c>
      <c r="K21">
        <v>0</v>
      </c>
      <c r="M21">
        <v>0.1</v>
      </c>
      <c r="N21" t="s">
        <v>2228</v>
      </c>
      <c r="P21">
        <v>33051</v>
      </c>
      <c r="Q21">
        <v>-1.0900000000000001</v>
      </c>
      <c r="R21">
        <v>0.71</v>
      </c>
      <c r="S21" t="b">
        <v>0</v>
      </c>
      <c r="T21">
        <v>3</v>
      </c>
      <c r="U21">
        <v>12</v>
      </c>
      <c r="V21" t="s">
        <v>1381</v>
      </c>
    </row>
    <row r="22" spans="1:22" x14ac:dyDescent="0.25">
      <c r="A22" t="s">
        <v>2227</v>
      </c>
      <c r="B22">
        <v>2010</v>
      </c>
      <c r="C22" t="s">
        <v>281</v>
      </c>
      <c r="D22" t="s">
        <v>91</v>
      </c>
      <c r="E22" t="s">
        <v>130</v>
      </c>
      <c r="F22" t="s">
        <v>103</v>
      </c>
      <c r="G22" t="s">
        <v>135</v>
      </c>
      <c r="H22" t="s">
        <v>15</v>
      </c>
      <c r="I22" t="s">
        <v>90</v>
      </c>
      <c r="J22" t="s">
        <v>79</v>
      </c>
      <c r="K22">
        <v>0</v>
      </c>
      <c r="M22">
        <v>0.13</v>
      </c>
      <c r="N22" t="s">
        <v>2226</v>
      </c>
      <c r="P22">
        <v>51175</v>
      </c>
      <c r="Q22">
        <v>-4.6399999999999997</v>
      </c>
      <c r="R22">
        <v>0.82</v>
      </c>
      <c r="S22" t="b">
        <v>0</v>
      </c>
      <c r="T22">
        <v>3</v>
      </c>
      <c r="U22">
        <v>0</v>
      </c>
      <c r="V22" t="s">
        <v>1381</v>
      </c>
    </row>
    <row r="23" spans="1:22" x14ac:dyDescent="0.25">
      <c r="A23" t="s">
        <v>2225</v>
      </c>
      <c r="B23">
        <v>2010</v>
      </c>
      <c r="C23" t="s">
        <v>104</v>
      </c>
      <c r="D23" t="s">
        <v>8</v>
      </c>
      <c r="E23" t="s">
        <v>27</v>
      </c>
      <c r="F23" t="s">
        <v>124</v>
      </c>
      <c r="G23" t="s">
        <v>62</v>
      </c>
      <c r="H23" t="s">
        <v>85</v>
      </c>
      <c r="I23" t="s">
        <v>14</v>
      </c>
      <c r="J23" t="s">
        <v>79</v>
      </c>
      <c r="K23">
        <v>0</v>
      </c>
      <c r="M23">
        <v>0.17</v>
      </c>
      <c r="N23" t="s">
        <v>2224</v>
      </c>
      <c r="P23">
        <v>21195</v>
      </c>
      <c r="Q23">
        <v>1.49</v>
      </c>
      <c r="R23">
        <v>0.74</v>
      </c>
      <c r="S23" t="b">
        <v>0</v>
      </c>
      <c r="T23">
        <v>1</v>
      </c>
      <c r="U23">
        <v>17</v>
      </c>
      <c r="V23" t="s">
        <v>1381</v>
      </c>
    </row>
    <row r="24" spans="1:22" x14ac:dyDescent="0.25">
      <c r="A24" t="s">
        <v>2223</v>
      </c>
      <c r="B24">
        <v>2010</v>
      </c>
      <c r="C24" t="s">
        <v>157</v>
      </c>
      <c r="D24" t="s">
        <v>18</v>
      </c>
      <c r="E24" t="s">
        <v>27</v>
      </c>
      <c r="F24" t="s">
        <v>108</v>
      </c>
      <c r="G24" t="s">
        <v>16</v>
      </c>
      <c r="H24" t="s">
        <v>61</v>
      </c>
      <c r="I24" t="s">
        <v>68</v>
      </c>
      <c r="J24" t="s">
        <v>23</v>
      </c>
      <c r="K24">
        <v>1</v>
      </c>
      <c r="L24" t="s">
        <v>88</v>
      </c>
      <c r="M24">
        <v>0.85</v>
      </c>
      <c r="N24" t="s">
        <v>2222</v>
      </c>
      <c r="O24" t="s">
        <v>88</v>
      </c>
      <c r="P24">
        <v>79308</v>
      </c>
      <c r="Q24">
        <v>-1.65</v>
      </c>
      <c r="R24">
        <v>0.39</v>
      </c>
      <c r="S24" t="b">
        <v>1</v>
      </c>
      <c r="T24">
        <v>2</v>
      </c>
      <c r="U24">
        <v>10</v>
      </c>
      <c r="V24" t="s">
        <v>1381</v>
      </c>
    </row>
    <row r="25" spans="1:22" x14ac:dyDescent="0.25">
      <c r="A25" t="s">
        <v>2221</v>
      </c>
      <c r="B25">
        <v>2010</v>
      </c>
      <c r="C25" t="s">
        <v>348</v>
      </c>
      <c r="D25" t="s">
        <v>64</v>
      </c>
      <c r="E25" t="s">
        <v>50</v>
      </c>
      <c r="F25" t="s">
        <v>115</v>
      </c>
      <c r="G25" t="s">
        <v>25</v>
      </c>
      <c r="H25" t="s">
        <v>141</v>
      </c>
      <c r="I25" t="s">
        <v>74</v>
      </c>
      <c r="J25" t="s">
        <v>73</v>
      </c>
      <c r="K25">
        <v>0</v>
      </c>
      <c r="M25">
        <v>0.04</v>
      </c>
      <c r="N25" t="s">
        <v>2220</v>
      </c>
      <c r="P25">
        <v>67162</v>
      </c>
      <c r="Q25">
        <v>3.99</v>
      </c>
      <c r="R25">
        <v>0.61</v>
      </c>
      <c r="S25" t="b">
        <v>0</v>
      </c>
      <c r="T25">
        <v>3</v>
      </c>
      <c r="U25">
        <v>9</v>
      </c>
      <c r="V25" t="s">
        <v>1381</v>
      </c>
    </row>
    <row r="26" spans="1:22" x14ac:dyDescent="0.25">
      <c r="A26" t="s">
        <v>2219</v>
      </c>
      <c r="B26">
        <v>2010</v>
      </c>
      <c r="C26" t="s">
        <v>236</v>
      </c>
      <c r="D26" t="s">
        <v>131</v>
      </c>
      <c r="E26" t="s">
        <v>130</v>
      </c>
      <c r="F26" t="s">
        <v>41</v>
      </c>
      <c r="G26" t="s">
        <v>62</v>
      </c>
      <c r="H26" t="s">
        <v>4</v>
      </c>
      <c r="I26" t="s">
        <v>40</v>
      </c>
      <c r="J26" t="s">
        <v>96</v>
      </c>
      <c r="K26">
        <v>0</v>
      </c>
      <c r="M26">
        <v>0.09</v>
      </c>
      <c r="N26" t="s">
        <v>2218</v>
      </c>
      <c r="P26">
        <v>26698</v>
      </c>
      <c r="Q26">
        <v>1.37</v>
      </c>
      <c r="R26">
        <v>0.77</v>
      </c>
      <c r="S26" t="b">
        <v>0</v>
      </c>
      <c r="T26">
        <v>1</v>
      </c>
      <c r="U26">
        <v>2</v>
      </c>
      <c r="V26" t="s">
        <v>1381</v>
      </c>
    </row>
    <row r="27" spans="1:22" x14ac:dyDescent="0.25">
      <c r="A27" t="s">
        <v>2217</v>
      </c>
      <c r="B27">
        <v>2010</v>
      </c>
      <c r="C27" t="s">
        <v>86</v>
      </c>
      <c r="D27" t="s">
        <v>131</v>
      </c>
      <c r="E27" t="s">
        <v>121</v>
      </c>
      <c r="F27" t="s">
        <v>112</v>
      </c>
      <c r="G27" t="s">
        <v>16</v>
      </c>
      <c r="H27" t="s">
        <v>15</v>
      </c>
      <c r="I27" t="s">
        <v>24</v>
      </c>
      <c r="J27" t="s">
        <v>79</v>
      </c>
      <c r="K27">
        <v>0</v>
      </c>
      <c r="M27">
        <v>0.12</v>
      </c>
      <c r="N27" t="s">
        <v>2216</v>
      </c>
      <c r="P27">
        <v>28203</v>
      </c>
      <c r="Q27">
        <v>4.6500000000000004</v>
      </c>
      <c r="R27">
        <v>0.62</v>
      </c>
      <c r="S27" t="b">
        <v>0</v>
      </c>
      <c r="T27">
        <v>3</v>
      </c>
      <c r="U27">
        <v>13</v>
      </c>
      <c r="V27" t="s">
        <v>1381</v>
      </c>
    </row>
    <row r="28" spans="1:22" x14ac:dyDescent="0.25">
      <c r="A28" t="s">
        <v>2215</v>
      </c>
      <c r="B28">
        <v>2010</v>
      </c>
      <c r="C28" t="s">
        <v>281</v>
      </c>
      <c r="D28" t="s">
        <v>91</v>
      </c>
      <c r="E28" t="s">
        <v>219</v>
      </c>
      <c r="F28" t="s">
        <v>26</v>
      </c>
      <c r="G28" t="s">
        <v>62</v>
      </c>
      <c r="H28" t="s">
        <v>49</v>
      </c>
      <c r="I28" t="s">
        <v>24</v>
      </c>
      <c r="J28" t="s">
        <v>73</v>
      </c>
      <c r="K28">
        <v>0</v>
      </c>
      <c r="M28">
        <v>0.06</v>
      </c>
      <c r="N28" t="s">
        <v>2214</v>
      </c>
      <c r="P28">
        <v>46467</v>
      </c>
      <c r="Q28">
        <v>-3.21</v>
      </c>
      <c r="R28">
        <v>0.74</v>
      </c>
      <c r="S28" t="b">
        <v>0</v>
      </c>
      <c r="T28">
        <v>2</v>
      </c>
      <c r="U28">
        <v>19</v>
      </c>
      <c r="V28" t="s">
        <v>1381</v>
      </c>
    </row>
    <row r="29" spans="1:22" x14ac:dyDescent="0.25">
      <c r="A29" t="s">
        <v>2213</v>
      </c>
      <c r="B29">
        <v>2010</v>
      </c>
      <c r="C29" t="s">
        <v>348</v>
      </c>
      <c r="D29" t="s">
        <v>64</v>
      </c>
      <c r="E29" t="s">
        <v>42</v>
      </c>
      <c r="F29" t="s">
        <v>80</v>
      </c>
      <c r="G29" t="s">
        <v>25</v>
      </c>
      <c r="H29" t="s">
        <v>15</v>
      </c>
      <c r="I29" t="s">
        <v>107</v>
      </c>
      <c r="J29" t="s">
        <v>13</v>
      </c>
      <c r="K29">
        <v>0</v>
      </c>
      <c r="M29">
        <v>0.1</v>
      </c>
      <c r="N29" t="s">
        <v>2212</v>
      </c>
      <c r="P29">
        <v>69442</v>
      </c>
      <c r="Q29">
        <v>3.75</v>
      </c>
      <c r="R29">
        <v>0.83</v>
      </c>
      <c r="S29" t="b">
        <v>0</v>
      </c>
      <c r="T29">
        <v>1</v>
      </c>
      <c r="U29">
        <v>1</v>
      </c>
      <c r="V29" t="s">
        <v>1381</v>
      </c>
    </row>
    <row r="30" spans="1:22" x14ac:dyDescent="0.25">
      <c r="A30" t="s">
        <v>2211</v>
      </c>
      <c r="B30">
        <v>2010</v>
      </c>
      <c r="C30" t="s">
        <v>58</v>
      </c>
      <c r="D30" t="s">
        <v>57</v>
      </c>
      <c r="E30" t="s">
        <v>56</v>
      </c>
      <c r="F30" t="s">
        <v>124</v>
      </c>
      <c r="G30" t="s">
        <v>25</v>
      </c>
      <c r="H30" t="s">
        <v>15</v>
      </c>
      <c r="I30" t="s">
        <v>40</v>
      </c>
      <c r="J30" t="s">
        <v>96</v>
      </c>
      <c r="K30">
        <v>0</v>
      </c>
      <c r="M30">
        <v>0.12</v>
      </c>
      <c r="N30" t="s">
        <v>2210</v>
      </c>
      <c r="P30">
        <v>63731</v>
      </c>
      <c r="Q30">
        <v>-1.01</v>
      </c>
      <c r="R30">
        <v>0.85</v>
      </c>
      <c r="S30" t="b">
        <v>0</v>
      </c>
      <c r="T30">
        <v>2</v>
      </c>
      <c r="U30">
        <v>13</v>
      </c>
      <c r="V30" t="s">
        <v>1381</v>
      </c>
    </row>
    <row r="31" spans="1:22" x14ac:dyDescent="0.25">
      <c r="A31" t="s">
        <v>2209</v>
      </c>
      <c r="B31">
        <v>2010</v>
      </c>
      <c r="C31" t="s">
        <v>164</v>
      </c>
      <c r="D31" t="s">
        <v>8</v>
      </c>
      <c r="E31" t="s">
        <v>86</v>
      </c>
      <c r="F31" t="s">
        <v>103</v>
      </c>
      <c r="G31" t="s">
        <v>16</v>
      </c>
      <c r="H31" t="s">
        <v>61</v>
      </c>
      <c r="I31" t="s">
        <v>97</v>
      </c>
      <c r="J31" t="s">
        <v>2</v>
      </c>
      <c r="K31">
        <v>0</v>
      </c>
      <c r="M31">
        <v>0.03</v>
      </c>
      <c r="N31" t="s">
        <v>2208</v>
      </c>
      <c r="P31">
        <v>18127</v>
      </c>
      <c r="Q31">
        <v>-2.89</v>
      </c>
      <c r="R31">
        <v>0.73</v>
      </c>
      <c r="S31" t="b">
        <v>0</v>
      </c>
      <c r="T31">
        <v>2</v>
      </c>
      <c r="U31">
        <v>5</v>
      </c>
      <c r="V31" t="s">
        <v>1381</v>
      </c>
    </row>
    <row r="32" spans="1:22" x14ac:dyDescent="0.25">
      <c r="A32" t="s">
        <v>2207</v>
      </c>
      <c r="B32">
        <v>2010</v>
      </c>
      <c r="C32" t="s">
        <v>92</v>
      </c>
      <c r="D32" t="s">
        <v>91</v>
      </c>
      <c r="E32" t="s">
        <v>219</v>
      </c>
      <c r="F32" t="s">
        <v>69</v>
      </c>
      <c r="G32" t="s">
        <v>25</v>
      </c>
      <c r="H32" t="s">
        <v>34</v>
      </c>
      <c r="I32" t="s">
        <v>74</v>
      </c>
      <c r="J32" t="s">
        <v>2</v>
      </c>
      <c r="K32">
        <v>0</v>
      </c>
      <c r="M32">
        <v>0.05</v>
      </c>
      <c r="N32" t="s">
        <v>2206</v>
      </c>
      <c r="P32">
        <v>51548</v>
      </c>
      <c r="Q32">
        <v>4.9000000000000004</v>
      </c>
      <c r="R32">
        <v>0.84</v>
      </c>
      <c r="S32" t="b">
        <v>0</v>
      </c>
      <c r="T32">
        <v>3</v>
      </c>
      <c r="U32">
        <v>15</v>
      </c>
      <c r="V32" t="s">
        <v>1381</v>
      </c>
    </row>
    <row r="33" spans="1:22" x14ac:dyDescent="0.25">
      <c r="A33" t="s">
        <v>2205</v>
      </c>
      <c r="B33">
        <v>2010</v>
      </c>
      <c r="C33" t="s">
        <v>220</v>
      </c>
      <c r="D33" t="s">
        <v>91</v>
      </c>
      <c r="E33" t="s">
        <v>56</v>
      </c>
      <c r="F33" t="s">
        <v>26</v>
      </c>
      <c r="G33" t="s">
        <v>25</v>
      </c>
      <c r="H33" t="s">
        <v>49</v>
      </c>
      <c r="I33" t="s">
        <v>74</v>
      </c>
      <c r="J33" t="s">
        <v>13</v>
      </c>
      <c r="K33">
        <v>0</v>
      </c>
      <c r="M33">
        <v>0.02</v>
      </c>
      <c r="N33" t="s">
        <v>2204</v>
      </c>
      <c r="P33">
        <v>51928</v>
      </c>
      <c r="Q33">
        <v>-0.28999999999999998</v>
      </c>
      <c r="R33">
        <v>0.8</v>
      </c>
      <c r="S33" t="b">
        <v>0</v>
      </c>
      <c r="T33">
        <v>1</v>
      </c>
      <c r="U33">
        <v>14</v>
      </c>
      <c r="V33" t="s">
        <v>1381</v>
      </c>
    </row>
    <row r="34" spans="1:22" x14ac:dyDescent="0.25">
      <c r="A34" t="s">
        <v>2203</v>
      </c>
      <c r="B34">
        <v>2010</v>
      </c>
      <c r="C34" t="s">
        <v>152</v>
      </c>
      <c r="D34" t="s">
        <v>28</v>
      </c>
      <c r="E34" t="s">
        <v>36</v>
      </c>
      <c r="F34" t="s">
        <v>75</v>
      </c>
      <c r="G34" t="s">
        <v>5</v>
      </c>
      <c r="H34" t="s">
        <v>141</v>
      </c>
      <c r="I34" t="s">
        <v>3</v>
      </c>
      <c r="J34" t="s">
        <v>23</v>
      </c>
      <c r="K34">
        <v>0</v>
      </c>
      <c r="M34">
        <v>0.01</v>
      </c>
      <c r="N34" t="s">
        <v>2202</v>
      </c>
      <c r="P34">
        <v>33399</v>
      </c>
      <c r="Q34">
        <v>3.68</v>
      </c>
      <c r="R34">
        <v>0.64</v>
      </c>
      <c r="S34" t="b">
        <v>0</v>
      </c>
      <c r="T34">
        <v>2</v>
      </c>
      <c r="U34">
        <v>6</v>
      </c>
      <c r="V34" t="s">
        <v>1381</v>
      </c>
    </row>
    <row r="35" spans="1:22" x14ac:dyDescent="0.25">
      <c r="A35" t="s">
        <v>2201</v>
      </c>
      <c r="B35">
        <v>2010</v>
      </c>
      <c r="C35" t="s">
        <v>348</v>
      </c>
      <c r="D35" t="s">
        <v>64</v>
      </c>
      <c r="E35" t="s">
        <v>50</v>
      </c>
      <c r="F35" t="s">
        <v>108</v>
      </c>
      <c r="G35" t="s">
        <v>62</v>
      </c>
      <c r="H35" t="s">
        <v>102</v>
      </c>
      <c r="I35" t="s">
        <v>74</v>
      </c>
      <c r="J35" t="s">
        <v>23</v>
      </c>
      <c r="K35">
        <v>0</v>
      </c>
      <c r="M35">
        <v>0.01</v>
      </c>
      <c r="N35" t="s">
        <v>2200</v>
      </c>
      <c r="P35">
        <v>78508</v>
      </c>
      <c r="Q35">
        <v>0.63</v>
      </c>
      <c r="R35">
        <v>0.86</v>
      </c>
      <c r="S35" t="b">
        <v>0</v>
      </c>
      <c r="T35">
        <v>2</v>
      </c>
      <c r="U35">
        <v>18</v>
      </c>
      <c r="V35" t="s">
        <v>1381</v>
      </c>
    </row>
    <row r="36" spans="1:22" x14ac:dyDescent="0.25">
      <c r="A36" s="1" t="s">
        <v>2199</v>
      </c>
      <c r="B36">
        <v>2010</v>
      </c>
      <c r="C36" t="s">
        <v>413</v>
      </c>
      <c r="D36" t="s">
        <v>8</v>
      </c>
      <c r="E36" t="s">
        <v>7</v>
      </c>
      <c r="F36" t="s">
        <v>112</v>
      </c>
      <c r="G36" t="s">
        <v>5</v>
      </c>
      <c r="H36" t="s">
        <v>15</v>
      </c>
      <c r="I36" t="s">
        <v>97</v>
      </c>
      <c r="J36" t="s">
        <v>2</v>
      </c>
      <c r="K36">
        <v>0</v>
      </c>
      <c r="M36">
        <v>0.17</v>
      </c>
      <c r="N36" t="s">
        <v>2198</v>
      </c>
      <c r="P36">
        <v>22122</v>
      </c>
      <c r="Q36">
        <v>-2.2200000000000002</v>
      </c>
      <c r="R36">
        <v>0.66</v>
      </c>
      <c r="S36" t="b">
        <v>0</v>
      </c>
      <c r="T36">
        <v>3</v>
      </c>
      <c r="U36">
        <v>9</v>
      </c>
      <c r="V36" t="s">
        <v>1381</v>
      </c>
    </row>
    <row r="37" spans="1:22" x14ac:dyDescent="0.25">
      <c r="A37" t="s">
        <v>2197</v>
      </c>
      <c r="B37">
        <v>2010</v>
      </c>
      <c r="C37" t="s">
        <v>126</v>
      </c>
      <c r="D37" t="s">
        <v>125</v>
      </c>
      <c r="E37" t="s">
        <v>86</v>
      </c>
      <c r="F37" t="s">
        <v>63</v>
      </c>
      <c r="G37" t="s">
        <v>62</v>
      </c>
      <c r="H37" t="s">
        <v>179</v>
      </c>
      <c r="I37" t="s">
        <v>90</v>
      </c>
      <c r="J37" t="s">
        <v>23</v>
      </c>
      <c r="K37">
        <v>0</v>
      </c>
      <c r="M37">
        <v>0.1</v>
      </c>
      <c r="N37" t="s">
        <v>541</v>
      </c>
      <c r="P37">
        <v>16089</v>
      </c>
      <c r="Q37">
        <v>-2.27</v>
      </c>
      <c r="R37">
        <v>0.7</v>
      </c>
      <c r="S37" t="b">
        <v>0</v>
      </c>
      <c r="T37">
        <v>3</v>
      </c>
      <c r="U37">
        <v>16</v>
      </c>
      <c r="V37" t="s">
        <v>1381</v>
      </c>
    </row>
    <row r="38" spans="1:22" x14ac:dyDescent="0.25">
      <c r="A38" t="s">
        <v>2196</v>
      </c>
      <c r="B38">
        <v>2010</v>
      </c>
      <c r="C38" t="s">
        <v>65</v>
      </c>
      <c r="D38" t="s">
        <v>64</v>
      </c>
      <c r="E38" t="s">
        <v>27</v>
      </c>
      <c r="F38" t="s">
        <v>108</v>
      </c>
      <c r="G38" t="s">
        <v>135</v>
      </c>
      <c r="H38" t="s">
        <v>34</v>
      </c>
      <c r="I38" t="s">
        <v>40</v>
      </c>
      <c r="J38" t="s">
        <v>23</v>
      </c>
      <c r="K38">
        <v>0</v>
      </c>
      <c r="M38">
        <v>0.04</v>
      </c>
      <c r="N38" t="s">
        <v>2195</v>
      </c>
      <c r="P38">
        <v>79382</v>
      </c>
      <c r="Q38">
        <v>-1.1100000000000001</v>
      </c>
      <c r="R38">
        <v>0.7</v>
      </c>
      <c r="S38" t="b">
        <v>0</v>
      </c>
      <c r="T38">
        <v>3</v>
      </c>
      <c r="U38">
        <v>1</v>
      </c>
      <c r="V38" t="s">
        <v>1381</v>
      </c>
    </row>
    <row r="39" spans="1:22" x14ac:dyDescent="0.25">
      <c r="A39" s="1" t="s">
        <v>2194</v>
      </c>
      <c r="B39">
        <v>2010</v>
      </c>
      <c r="C39" t="s">
        <v>65</v>
      </c>
      <c r="D39" t="s">
        <v>64</v>
      </c>
      <c r="E39" t="s">
        <v>130</v>
      </c>
      <c r="F39" t="s">
        <v>136</v>
      </c>
      <c r="G39" t="s">
        <v>5</v>
      </c>
      <c r="H39" t="s">
        <v>85</v>
      </c>
      <c r="I39" t="s">
        <v>33</v>
      </c>
      <c r="J39" t="s">
        <v>73</v>
      </c>
      <c r="K39">
        <v>0</v>
      </c>
      <c r="M39">
        <v>0.11</v>
      </c>
      <c r="N39" t="s">
        <v>2193</v>
      </c>
      <c r="P39">
        <v>62849</v>
      </c>
      <c r="Q39">
        <v>-4.46</v>
      </c>
      <c r="R39">
        <v>0.66</v>
      </c>
      <c r="S39" t="b">
        <v>0</v>
      </c>
      <c r="T39">
        <v>2</v>
      </c>
      <c r="U39">
        <v>14</v>
      </c>
      <c r="V39" t="s">
        <v>1381</v>
      </c>
    </row>
    <row r="40" spans="1:22" x14ac:dyDescent="0.25">
      <c r="A40" t="s">
        <v>2192</v>
      </c>
      <c r="B40">
        <v>2010</v>
      </c>
      <c r="C40" t="s">
        <v>233</v>
      </c>
      <c r="D40" t="s">
        <v>125</v>
      </c>
      <c r="E40" t="s">
        <v>56</v>
      </c>
      <c r="F40" t="s">
        <v>26</v>
      </c>
      <c r="G40" t="s">
        <v>135</v>
      </c>
      <c r="H40" t="s">
        <v>15</v>
      </c>
      <c r="I40" t="s">
        <v>33</v>
      </c>
      <c r="J40" t="s">
        <v>96</v>
      </c>
      <c r="K40">
        <v>1</v>
      </c>
      <c r="L40" t="s">
        <v>47</v>
      </c>
      <c r="M40">
        <v>0.53</v>
      </c>
      <c r="N40" t="s">
        <v>2191</v>
      </c>
      <c r="O40" t="s">
        <v>47</v>
      </c>
      <c r="P40">
        <v>27995</v>
      </c>
      <c r="Q40">
        <v>0.8</v>
      </c>
      <c r="R40">
        <v>0.27</v>
      </c>
      <c r="S40" t="b">
        <v>1</v>
      </c>
      <c r="T40">
        <v>2</v>
      </c>
      <c r="U40">
        <v>0</v>
      </c>
      <c r="V40" t="s">
        <v>1381</v>
      </c>
    </row>
    <row r="41" spans="1:22" x14ac:dyDescent="0.25">
      <c r="A41" t="s">
        <v>2190</v>
      </c>
      <c r="B41">
        <v>2010</v>
      </c>
      <c r="C41" t="s">
        <v>58</v>
      </c>
      <c r="D41" t="s">
        <v>57</v>
      </c>
      <c r="E41" t="s">
        <v>130</v>
      </c>
      <c r="F41" t="s">
        <v>108</v>
      </c>
      <c r="G41" t="s">
        <v>62</v>
      </c>
      <c r="H41" t="s">
        <v>85</v>
      </c>
      <c r="I41" t="s">
        <v>68</v>
      </c>
      <c r="J41" t="s">
        <v>23</v>
      </c>
      <c r="K41">
        <v>0</v>
      </c>
      <c r="M41">
        <v>0.13</v>
      </c>
      <c r="N41" t="s">
        <v>1401</v>
      </c>
      <c r="P41">
        <v>65925</v>
      </c>
      <c r="Q41">
        <v>-0.26</v>
      </c>
      <c r="R41">
        <v>0.86</v>
      </c>
      <c r="S41" t="b">
        <v>0</v>
      </c>
      <c r="T41">
        <v>1</v>
      </c>
      <c r="U41">
        <v>2</v>
      </c>
      <c r="V41" t="s">
        <v>1381</v>
      </c>
    </row>
    <row r="42" spans="1:22" x14ac:dyDescent="0.25">
      <c r="A42" t="s">
        <v>2189</v>
      </c>
      <c r="B42">
        <v>2010</v>
      </c>
      <c r="C42" t="s">
        <v>161</v>
      </c>
      <c r="D42" t="s">
        <v>8</v>
      </c>
      <c r="E42" t="s">
        <v>17</v>
      </c>
      <c r="F42" t="s">
        <v>35</v>
      </c>
      <c r="G42" t="s">
        <v>135</v>
      </c>
      <c r="H42" t="s">
        <v>85</v>
      </c>
      <c r="I42" t="s">
        <v>40</v>
      </c>
      <c r="J42" t="s">
        <v>79</v>
      </c>
      <c r="K42">
        <v>0</v>
      </c>
      <c r="M42">
        <v>0.13</v>
      </c>
      <c r="N42" t="s">
        <v>2188</v>
      </c>
      <c r="P42">
        <v>17654</v>
      </c>
      <c r="Q42">
        <v>4.5</v>
      </c>
      <c r="R42">
        <v>0.84</v>
      </c>
      <c r="S42" t="b">
        <v>0</v>
      </c>
      <c r="T42">
        <v>3</v>
      </c>
      <c r="U42">
        <v>1</v>
      </c>
      <c r="V42" t="s">
        <v>1381</v>
      </c>
    </row>
    <row r="43" spans="1:22" x14ac:dyDescent="0.25">
      <c r="A43" t="s">
        <v>2187</v>
      </c>
      <c r="B43">
        <v>2010</v>
      </c>
      <c r="C43" t="s">
        <v>378</v>
      </c>
      <c r="D43" t="s">
        <v>43</v>
      </c>
      <c r="E43" t="s">
        <v>50</v>
      </c>
      <c r="F43" t="s">
        <v>6</v>
      </c>
      <c r="G43" t="s">
        <v>62</v>
      </c>
      <c r="H43" t="s">
        <v>85</v>
      </c>
      <c r="I43" t="s">
        <v>14</v>
      </c>
      <c r="J43" t="s">
        <v>79</v>
      </c>
      <c r="K43">
        <v>0</v>
      </c>
      <c r="M43">
        <v>0.17</v>
      </c>
      <c r="N43" t="s">
        <v>2186</v>
      </c>
      <c r="P43">
        <v>60482</v>
      </c>
      <c r="Q43">
        <v>3.56</v>
      </c>
      <c r="R43">
        <v>0.7</v>
      </c>
      <c r="S43" t="b">
        <v>0</v>
      </c>
      <c r="T43">
        <v>2</v>
      </c>
      <c r="U43">
        <v>8</v>
      </c>
      <c r="V43" t="s">
        <v>1381</v>
      </c>
    </row>
    <row r="44" spans="1:22" x14ac:dyDescent="0.25">
      <c r="A44" t="s">
        <v>2185</v>
      </c>
      <c r="B44">
        <v>2010</v>
      </c>
      <c r="C44" t="s">
        <v>19</v>
      </c>
      <c r="D44" t="s">
        <v>18</v>
      </c>
      <c r="E44" t="s">
        <v>36</v>
      </c>
      <c r="F44" t="s">
        <v>115</v>
      </c>
      <c r="G44" t="s">
        <v>16</v>
      </c>
      <c r="H44" t="s">
        <v>4</v>
      </c>
      <c r="I44" t="s">
        <v>68</v>
      </c>
      <c r="J44" t="s">
        <v>2</v>
      </c>
      <c r="K44">
        <v>0</v>
      </c>
      <c r="M44">
        <v>0.01</v>
      </c>
      <c r="N44" t="s">
        <v>2184</v>
      </c>
      <c r="P44">
        <v>59976</v>
      </c>
      <c r="Q44">
        <v>-1.27</v>
      </c>
      <c r="R44">
        <v>0.67</v>
      </c>
      <c r="S44" t="b">
        <v>0</v>
      </c>
      <c r="T44">
        <v>1</v>
      </c>
      <c r="U44">
        <v>0</v>
      </c>
      <c r="V44" t="s">
        <v>1381</v>
      </c>
    </row>
    <row r="45" spans="1:22" x14ac:dyDescent="0.25">
      <c r="A45" t="s">
        <v>2183</v>
      </c>
      <c r="B45">
        <v>2010</v>
      </c>
      <c r="C45" t="s">
        <v>98</v>
      </c>
      <c r="D45" t="s">
        <v>43</v>
      </c>
      <c r="E45" t="s">
        <v>121</v>
      </c>
      <c r="F45" t="s">
        <v>115</v>
      </c>
      <c r="G45" t="s">
        <v>62</v>
      </c>
      <c r="H45" t="s">
        <v>49</v>
      </c>
      <c r="I45" t="s">
        <v>90</v>
      </c>
      <c r="J45" t="s">
        <v>79</v>
      </c>
      <c r="K45">
        <v>0</v>
      </c>
      <c r="M45">
        <v>0.06</v>
      </c>
      <c r="N45" t="s">
        <v>2182</v>
      </c>
      <c r="P45">
        <v>66621</v>
      </c>
      <c r="Q45">
        <v>0.11</v>
      </c>
      <c r="R45">
        <v>0.62</v>
      </c>
      <c r="S45" t="b">
        <v>0</v>
      </c>
      <c r="T45">
        <v>1</v>
      </c>
      <c r="U45">
        <v>12</v>
      </c>
      <c r="V45" t="s">
        <v>1381</v>
      </c>
    </row>
    <row r="46" spans="1:22" x14ac:dyDescent="0.25">
      <c r="A46" t="s">
        <v>2181</v>
      </c>
      <c r="B46">
        <v>2010</v>
      </c>
      <c r="C46" t="s">
        <v>298</v>
      </c>
      <c r="D46" t="s">
        <v>125</v>
      </c>
      <c r="E46" t="s">
        <v>42</v>
      </c>
      <c r="F46" t="s">
        <v>35</v>
      </c>
      <c r="G46" t="s">
        <v>5</v>
      </c>
      <c r="H46" t="s">
        <v>4</v>
      </c>
      <c r="I46" t="s">
        <v>33</v>
      </c>
      <c r="J46" t="s">
        <v>13</v>
      </c>
      <c r="K46">
        <v>0</v>
      </c>
      <c r="M46">
        <v>0.13</v>
      </c>
      <c r="N46" t="s">
        <v>2180</v>
      </c>
      <c r="P46">
        <v>16927</v>
      </c>
      <c r="Q46">
        <v>0.21</v>
      </c>
      <c r="R46">
        <v>0.64</v>
      </c>
      <c r="S46" t="b">
        <v>0</v>
      </c>
      <c r="T46">
        <v>1</v>
      </c>
      <c r="U46">
        <v>10</v>
      </c>
      <c r="V46" t="s">
        <v>1381</v>
      </c>
    </row>
    <row r="47" spans="1:22" x14ac:dyDescent="0.25">
      <c r="A47" t="s">
        <v>2179</v>
      </c>
      <c r="B47">
        <v>2010</v>
      </c>
      <c r="C47" t="s">
        <v>220</v>
      </c>
      <c r="D47" t="s">
        <v>91</v>
      </c>
      <c r="E47" t="s">
        <v>42</v>
      </c>
      <c r="F47" t="s">
        <v>69</v>
      </c>
      <c r="G47" t="s">
        <v>16</v>
      </c>
      <c r="H47" t="s">
        <v>49</v>
      </c>
      <c r="I47" t="s">
        <v>90</v>
      </c>
      <c r="J47" t="s">
        <v>13</v>
      </c>
      <c r="K47">
        <v>1</v>
      </c>
      <c r="L47" t="s">
        <v>2177</v>
      </c>
      <c r="M47">
        <v>0.42</v>
      </c>
      <c r="N47" t="s">
        <v>2178</v>
      </c>
      <c r="O47" t="s">
        <v>2177</v>
      </c>
      <c r="P47">
        <v>75229</v>
      </c>
      <c r="Q47">
        <v>-2.37</v>
      </c>
      <c r="R47">
        <v>0.17</v>
      </c>
      <c r="S47" t="b">
        <v>1</v>
      </c>
      <c r="T47">
        <v>1</v>
      </c>
      <c r="U47">
        <v>8</v>
      </c>
      <c r="V47" t="s">
        <v>1381</v>
      </c>
    </row>
    <row r="48" spans="1:22" x14ac:dyDescent="0.25">
      <c r="A48" t="s">
        <v>2176</v>
      </c>
      <c r="B48">
        <v>2010</v>
      </c>
      <c r="C48" t="s">
        <v>29</v>
      </c>
      <c r="D48" t="s">
        <v>28</v>
      </c>
      <c r="E48" t="s">
        <v>56</v>
      </c>
      <c r="F48" t="s">
        <v>41</v>
      </c>
      <c r="G48" t="s">
        <v>16</v>
      </c>
      <c r="H48" t="s">
        <v>34</v>
      </c>
      <c r="I48" t="s">
        <v>40</v>
      </c>
      <c r="J48" t="s">
        <v>13</v>
      </c>
      <c r="K48">
        <v>0</v>
      </c>
      <c r="M48">
        <v>0.15</v>
      </c>
      <c r="N48" t="s">
        <v>2175</v>
      </c>
      <c r="P48">
        <v>39367</v>
      </c>
      <c r="Q48">
        <v>-4.96</v>
      </c>
      <c r="R48">
        <v>0.85</v>
      </c>
      <c r="S48" t="b">
        <v>0</v>
      </c>
      <c r="T48">
        <v>2</v>
      </c>
      <c r="U48">
        <v>13</v>
      </c>
      <c r="V48" t="s">
        <v>1381</v>
      </c>
    </row>
    <row r="49" spans="1:22" x14ac:dyDescent="0.25">
      <c r="A49" t="s">
        <v>2174</v>
      </c>
      <c r="B49">
        <v>2010</v>
      </c>
      <c r="C49" t="s">
        <v>311</v>
      </c>
      <c r="D49" t="s">
        <v>125</v>
      </c>
      <c r="E49" t="s">
        <v>50</v>
      </c>
      <c r="F49" t="s">
        <v>69</v>
      </c>
      <c r="G49" t="s">
        <v>135</v>
      </c>
      <c r="H49" t="s">
        <v>4</v>
      </c>
      <c r="I49" t="s">
        <v>14</v>
      </c>
      <c r="J49" t="s">
        <v>13</v>
      </c>
      <c r="K49">
        <v>0</v>
      </c>
      <c r="M49">
        <v>0.19</v>
      </c>
      <c r="N49" t="s">
        <v>2173</v>
      </c>
      <c r="P49">
        <v>15834</v>
      </c>
      <c r="Q49">
        <v>2.95</v>
      </c>
      <c r="R49">
        <v>0.82</v>
      </c>
      <c r="S49" t="b">
        <v>0</v>
      </c>
      <c r="T49">
        <v>3</v>
      </c>
      <c r="U49">
        <v>13</v>
      </c>
      <c r="V49" t="s">
        <v>1381</v>
      </c>
    </row>
    <row r="50" spans="1:22" x14ac:dyDescent="0.25">
      <c r="A50" t="s">
        <v>2172</v>
      </c>
      <c r="B50">
        <v>2010</v>
      </c>
      <c r="C50" t="s">
        <v>311</v>
      </c>
      <c r="D50" t="s">
        <v>125</v>
      </c>
      <c r="E50" t="s">
        <v>50</v>
      </c>
      <c r="F50" t="s">
        <v>63</v>
      </c>
      <c r="G50" t="s">
        <v>16</v>
      </c>
      <c r="H50" t="s">
        <v>4</v>
      </c>
      <c r="I50" t="s">
        <v>74</v>
      </c>
      <c r="J50" t="s">
        <v>96</v>
      </c>
      <c r="K50">
        <v>0</v>
      </c>
      <c r="M50">
        <v>0.13</v>
      </c>
      <c r="N50" t="s">
        <v>2171</v>
      </c>
      <c r="P50">
        <v>20584</v>
      </c>
      <c r="Q50">
        <v>-2.23</v>
      </c>
      <c r="R50">
        <v>0.81</v>
      </c>
      <c r="S50" t="b">
        <v>0</v>
      </c>
      <c r="T50">
        <v>2</v>
      </c>
      <c r="U50">
        <v>6</v>
      </c>
      <c r="V50" t="s">
        <v>1381</v>
      </c>
    </row>
    <row r="51" spans="1:22" x14ac:dyDescent="0.25">
      <c r="A51" t="s">
        <v>2170</v>
      </c>
      <c r="B51">
        <v>2010</v>
      </c>
      <c r="C51" t="s">
        <v>176</v>
      </c>
      <c r="D51" t="s">
        <v>64</v>
      </c>
      <c r="E51" t="s">
        <v>130</v>
      </c>
      <c r="F51" t="s">
        <v>115</v>
      </c>
      <c r="G51" t="s">
        <v>16</v>
      </c>
      <c r="H51" t="s">
        <v>15</v>
      </c>
      <c r="I51" t="s">
        <v>40</v>
      </c>
      <c r="J51" t="s">
        <v>96</v>
      </c>
      <c r="K51">
        <v>0</v>
      </c>
      <c r="M51">
        <v>0.02</v>
      </c>
      <c r="N51" t="s">
        <v>2169</v>
      </c>
      <c r="P51">
        <v>73040</v>
      </c>
      <c r="Q51">
        <v>4.5199999999999996</v>
      </c>
      <c r="R51">
        <v>0.89</v>
      </c>
      <c r="S51" t="b">
        <v>0</v>
      </c>
      <c r="T51">
        <v>1</v>
      </c>
      <c r="U51">
        <v>10</v>
      </c>
      <c r="V51" t="s">
        <v>1381</v>
      </c>
    </row>
    <row r="52" spans="1:22" x14ac:dyDescent="0.25">
      <c r="A52" t="s">
        <v>2168</v>
      </c>
      <c r="B52">
        <v>2010</v>
      </c>
      <c r="C52" t="s">
        <v>176</v>
      </c>
      <c r="D52" t="s">
        <v>64</v>
      </c>
      <c r="E52" t="s">
        <v>147</v>
      </c>
      <c r="F52" t="s">
        <v>115</v>
      </c>
      <c r="G52" t="s">
        <v>135</v>
      </c>
      <c r="H52" t="s">
        <v>85</v>
      </c>
      <c r="I52" t="s">
        <v>74</v>
      </c>
      <c r="J52" t="s">
        <v>73</v>
      </c>
      <c r="K52">
        <v>0</v>
      </c>
      <c r="M52">
        <v>0.03</v>
      </c>
      <c r="N52" t="s">
        <v>975</v>
      </c>
      <c r="P52">
        <v>59813</v>
      </c>
      <c r="Q52">
        <v>1.23</v>
      </c>
      <c r="R52">
        <v>0.8</v>
      </c>
      <c r="S52" t="b">
        <v>0</v>
      </c>
      <c r="T52">
        <v>3</v>
      </c>
      <c r="U52">
        <v>12</v>
      </c>
      <c r="V52" t="s">
        <v>1381</v>
      </c>
    </row>
    <row r="53" spans="1:22" x14ac:dyDescent="0.25">
      <c r="A53" t="s">
        <v>2167</v>
      </c>
      <c r="B53">
        <v>2010</v>
      </c>
      <c r="C53" t="s">
        <v>215</v>
      </c>
      <c r="D53" t="s">
        <v>91</v>
      </c>
      <c r="E53" t="s">
        <v>219</v>
      </c>
      <c r="F53" t="s">
        <v>55</v>
      </c>
      <c r="G53" t="s">
        <v>25</v>
      </c>
      <c r="H53" t="s">
        <v>85</v>
      </c>
      <c r="I53" t="s">
        <v>24</v>
      </c>
      <c r="J53" t="s">
        <v>73</v>
      </c>
      <c r="K53">
        <v>0</v>
      </c>
      <c r="M53">
        <v>0.1</v>
      </c>
      <c r="N53" t="s">
        <v>2166</v>
      </c>
      <c r="P53">
        <v>51488</v>
      </c>
      <c r="Q53">
        <v>4.22</v>
      </c>
      <c r="R53">
        <v>0.6</v>
      </c>
      <c r="S53" t="b">
        <v>0</v>
      </c>
      <c r="T53">
        <v>3</v>
      </c>
      <c r="U53">
        <v>14</v>
      </c>
      <c r="V53" t="s">
        <v>1381</v>
      </c>
    </row>
    <row r="54" spans="1:22" x14ac:dyDescent="0.25">
      <c r="A54" t="s">
        <v>2165</v>
      </c>
      <c r="B54">
        <v>2010</v>
      </c>
      <c r="C54" t="s">
        <v>70</v>
      </c>
      <c r="D54" t="s">
        <v>18</v>
      </c>
      <c r="E54" t="s">
        <v>116</v>
      </c>
      <c r="F54" t="s">
        <v>103</v>
      </c>
      <c r="G54" t="s">
        <v>16</v>
      </c>
      <c r="H54" t="s">
        <v>4</v>
      </c>
      <c r="I54" t="s">
        <v>33</v>
      </c>
      <c r="J54" t="s">
        <v>13</v>
      </c>
      <c r="K54">
        <v>0</v>
      </c>
      <c r="M54">
        <v>7.0000000000000007E-2</v>
      </c>
      <c r="N54" t="s">
        <v>2164</v>
      </c>
      <c r="P54">
        <v>49995</v>
      </c>
      <c r="Q54">
        <v>-3.39</v>
      </c>
      <c r="R54">
        <v>0.7</v>
      </c>
      <c r="S54" t="b">
        <v>0</v>
      </c>
      <c r="T54">
        <v>3</v>
      </c>
      <c r="U54">
        <v>7</v>
      </c>
      <c r="V54" t="s">
        <v>1381</v>
      </c>
    </row>
    <row r="55" spans="1:22" x14ac:dyDescent="0.25">
      <c r="A55" t="s">
        <v>2163</v>
      </c>
      <c r="B55">
        <v>2010</v>
      </c>
      <c r="C55" t="s">
        <v>267</v>
      </c>
      <c r="D55" t="s">
        <v>43</v>
      </c>
      <c r="E55" t="s">
        <v>17</v>
      </c>
      <c r="F55" t="s">
        <v>112</v>
      </c>
      <c r="G55" t="s">
        <v>135</v>
      </c>
      <c r="H55" t="s">
        <v>179</v>
      </c>
      <c r="I55" t="s">
        <v>3</v>
      </c>
      <c r="J55" t="s">
        <v>23</v>
      </c>
      <c r="K55">
        <v>0</v>
      </c>
      <c r="M55">
        <v>0.18</v>
      </c>
      <c r="N55" t="s">
        <v>2162</v>
      </c>
      <c r="P55">
        <v>51565</v>
      </c>
      <c r="Q55">
        <v>-1.02</v>
      </c>
      <c r="R55">
        <v>0.89</v>
      </c>
      <c r="S55" t="b">
        <v>0</v>
      </c>
      <c r="T55">
        <v>2</v>
      </c>
      <c r="U55">
        <v>17</v>
      </c>
      <c r="V55" t="s">
        <v>1381</v>
      </c>
    </row>
    <row r="56" spans="1:22" x14ac:dyDescent="0.25">
      <c r="A56" t="s">
        <v>2161</v>
      </c>
      <c r="B56">
        <v>2010</v>
      </c>
      <c r="C56" t="s">
        <v>382</v>
      </c>
      <c r="D56" t="s">
        <v>125</v>
      </c>
      <c r="E56" t="s">
        <v>56</v>
      </c>
      <c r="F56" t="s">
        <v>63</v>
      </c>
      <c r="G56" t="s">
        <v>5</v>
      </c>
      <c r="H56" t="s">
        <v>102</v>
      </c>
      <c r="I56" t="s">
        <v>68</v>
      </c>
      <c r="J56" t="s">
        <v>73</v>
      </c>
      <c r="K56">
        <v>0</v>
      </c>
      <c r="M56">
        <v>0.02</v>
      </c>
      <c r="N56" t="s">
        <v>2160</v>
      </c>
      <c r="P56">
        <v>18055</v>
      </c>
      <c r="Q56">
        <v>0.01</v>
      </c>
      <c r="R56">
        <v>0.75</v>
      </c>
      <c r="S56" t="b">
        <v>0</v>
      </c>
      <c r="T56">
        <v>2</v>
      </c>
      <c r="U56">
        <v>12</v>
      </c>
      <c r="V56" t="s">
        <v>1381</v>
      </c>
    </row>
    <row r="57" spans="1:22" x14ac:dyDescent="0.25">
      <c r="A57" t="s">
        <v>2159</v>
      </c>
      <c r="B57">
        <v>2010</v>
      </c>
      <c r="C57" t="s">
        <v>407</v>
      </c>
      <c r="D57" t="s">
        <v>131</v>
      </c>
      <c r="E57" t="s">
        <v>17</v>
      </c>
      <c r="F57" t="s">
        <v>69</v>
      </c>
      <c r="G57" t="s">
        <v>16</v>
      </c>
      <c r="H57" t="s">
        <v>34</v>
      </c>
      <c r="I57" t="s">
        <v>90</v>
      </c>
      <c r="J57" t="s">
        <v>2</v>
      </c>
      <c r="K57">
        <v>0</v>
      </c>
      <c r="M57">
        <v>0.04</v>
      </c>
      <c r="N57" t="s">
        <v>2158</v>
      </c>
      <c r="P57">
        <v>33483</v>
      </c>
      <c r="Q57">
        <v>-4.6100000000000003</v>
      </c>
      <c r="R57">
        <v>0.7</v>
      </c>
      <c r="S57" t="b">
        <v>0</v>
      </c>
      <c r="T57">
        <v>2</v>
      </c>
      <c r="U57">
        <v>8</v>
      </c>
      <c r="V57" t="s">
        <v>1381</v>
      </c>
    </row>
    <row r="58" spans="1:22" x14ac:dyDescent="0.25">
      <c r="A58" t="s">
        <v>2157</v>
      </c>
      <c r="B58">
        <v>2010</v>
      </c>
      <c r="C58" t="s">
        <v>98</v>
      </c>
      <c r="D58" t="s">
        <v>43</v>
      </c>
      <c r="E58" t="s">
        <v>36</v>
      </c>
      <c r="F58" t="s">
        <v>80</v>
      </c>
      <c r="G58" t="s">
        <v>25</v>
      </c>
      <c r="H58" t="s">
        <v>49</v>
      </c>
      <c r="I58" t="s">
        <v>74</v>
      </c>
      <c r="J58" t="s">
        <v>2</v>
      </c>
      <c r="K58">
        <v>1</v>
      </c>
      <c r="L58" t="s">
        <v>2155</v>
      </c>
      <c r="M58">
        <v>0.7</v>
      </c>
      <c r="N58" t="s">
        <v>2156</v>
      </c>
      <c r="O58" t="s">
        <v>2155</v>
      </c>
      <c r="P58">
        <v>76155</v>
      </c>
      <c r="Q58">
        <v>2.6</v>
      </c>
      <c r="R58">
        <v>0.36</v>
      </c>
      <c r="S58" t="b">
        <v>1</v>
      </c>
      <c r="T58">
        <v>3</v>
      </c>
      <c r="U58">
        <v>5</v>
      </c>
      <c r="V58" t="s">
        <v>1381</v>
      </c>
    </row>
    <row r="59" spans="1:22" x14ac:dyDescent="0.25">
      <c r="A59" t="s">
        <v>2154</v>
      </c>
      <c r="B59">
        <v>2011</v>
      </c>
      <c r="C59" t="s">
        <v>58</v>
      </c>
      <c r="D59" t="s">
        <v>57</v>
      </c>
      <c r="E59" t="s">
        <v>130</v>
      </c>
      <c r="F59" t="s">
        <v>156</v>
      </c>
      <c r="G59" t="s">
        <v>16</v>
      </c>
      <c r="H59" t="s">
        <v>141</v>
      </c>
      <c r="I59" t="s">
        <v>74</v>
      </c>
      <c r="J59" t="s">
        <v>79</v>
      </c>
      <c r="K59">
        <v>0</v>
      </c>
      <c r="M59">
        <v>0.19</v>
      </c>
      <c r="N59" t="s">
        <v>1738</v>
      </c>
      <c r="P59">
        <v>73953</v>
      </c>
      <c r="Q59">
        <v>-3.34</v>
      </c>
      <c r="R59">
        <v>0.75</v>
      </c>
      <c r="S59" t="b">
        <v>0</v>
      </c>
      <c r="T59">
        <v>2</v>
      </c>
      <c r="U59">
        <v>13</v>
      </c>
      <c r="V59" t="s">
        <v>1381</v>
      </c>
    </row>
    <row r="60" spans="1:22" x14ac:dyDescent="0.25">
      <c r="A60" t="s">
        <v>2153</v>
      </c>
      <c r="B60">
        <v>2011</v>
      </c>
      <c r="C60" t="s">
        <v>348</v>
      </c>
      <c r="D60" t="s">
        <v>64</v>
      </c>
      <c r="E60" t="s">
        <v>130</v>
      </c>
      <c r="F60" t="s">
        <v>55</v>
      </c>
      <c r="G60" t="s">
        <v>135</v>
      </c>
      <c r="H60" t="s">
        <v>179</v>
      </c>
      <c r="I60" t="s">
        <v>68</v>
      </c>
      <c r="J60" t="s">
        <v>2</v>
      </c>
      <c r="K60">
        <v>0</v>
      </c>
      <c r="M60">
        <v>0.16</v>
      </c>
      <c r="N60" t="s">
        <v>2152</v>
      </c>
      <c r="P60">
        <v>75382</v>
      </c>
      <c r="Q60">
        <v>2.54</v>
      </c>
      <c r="R60">
        <v>0.88</v>
      </c>
      <c r="S60" t="b">
        <v>0</v>
      </c>
      <c r="T60">
        <v>1</v>
      </c>
      <c r="U60">
        <v>19</v>
      </c>
      <c r="V60" t="s">
        <v>1381</v>
      </c>
    </row>
    <row r="61" spans="1:22" x14ac:dyDescent="0.25">
      <c r="A61" t="s">
        <v>2151</v>
      </c>
      <c r="B61">
        <v>2011</v>
      </c>
      <c r="C61" t="s">
        <v>413</v>
      </c>
      <c r="D61" t="s">
        <v>8</v>
      </c>
      <c r="E61" t="s">
        <v>219</v>
      </c>
      <c r="F61" t="s">
        <v>63</v>
      </c>
      <c r="G61" t="s">
        <v>25</v>
      </c>
      <c r="H61" t="s">
        <v>179</v>
      </c>
      <c r="I61" t="s">
        <v>33</v>
      </c>
      <c r="J61" t="s">
        <v>96</v>
      </c>
      <c r="K61">
        <v>0</v>
      </c>
      <c r="M61">
        <v>0.13</v>
      </c>
      <c r="N61" t="s">
        <v>2150</v>
      </c>
      <c r="P61">
        <v>22641</v>
      </c>
      <c r="Q61">
        <v>1.85</v>
      </c>
      <c r="R61">
        <v>0.89</v>
      </c>
      <c r="S61" t="b">
        <v>0</v>
      </c>
      <c r="T61">
        <v>2</v>
      </c>
      <c r="U61">
        <v>9</v>
      </c>
      <c r="V61" t="s">
        <v>1381</v>
      </c>
    </row>
    <row r="62" spans="1:22" x14ac:dyDescent="0.25">
      <c r="A62" t="s">
        <v>2149</v>
      </c>
      <c r="B62">
        <v>2011</v>
      </c>
      <c r="C62" t="s">
        <v>19</v>
      </c>
      <c r="D62" t="s">
        <v>18</v>
      </c>
      <c r="E62" t="s">
        <v>42</v>
      </c>
      <c r="F62" t="s">
        <v>75</v>
      </c>
      <c r="G62" t="s">
        <v>16</v>
      </c>
      <c r="H62" t="s">
        <v>61</v>
      </c>
      <c r="I62" t="s">
        <v>74</v>
      </c>
      <c r="J62" t="s">
        <v>13</v>
      </c>
      <c r="K62">
        <v>0</v>
      </c>
      <c r="M62">
        <v>0.04</v>
      </c>
      <c r="N62" t="s">
        <v>2148</v>
      </c>
      <c r="P62">
        <v>57554</v>
      </c>
      <c r="Q62">
        <v>-4.26</v>
      </c>
      <c r="R62">
        <v>0.75</v>
      </c>
      <c r="S62" t="b">
        <v>0</v>
      </c>
      <c r="T62">
        <v>3</v>
      </c>
      <c r="U62">
        <v>16</v>
      </c>
      <c r="V62" t="s">
        <v>1381</v>
      </c>
    </row>
    <row r="63" spans="1:22" x14ac:dyDescent="0.25">
      <c r="A63" t="s">
        <v>2147</v>
      </c>
      <c r="B63">
        <v>2011</v>
      </c>
      <c r="C63" t="s">
        <v>51</v>
      </c>
      <c r="D63" t="s">
        <v>18</v>
      </c>
      <c r="E63" t="s">
        <v>50</v>
      </c>
      <c r="F63" t="s">
        <v>124</v>
      </c>
      <c r="G63" t="s">
        <v>135</v>
      </c>
      <c r="H63" t="s">
        <v>102</v>
      </c>
      <c r="I63" t="s">
        <v>74</v>
      </c>
      <c r="J63" t="s">
        <v>79</v>
      </c>
      <c r="K63">
        <v>0</v>
      </c>
      <c r="M63">
        <v>0.16</v>
      </c>
      <c r="N63" t="s">
        <v>2146</v>
      </c>
      <c r="P63">
        <v>56978</v>
      </c>
      <c r="Q63">
        <v>-3.51</v>
      </c>
      <c r="R63">
        <v>0.87</v>
      </c>
      <c r="S63" t="b">
        <v>0</v>
      </c>
      <c r="T63">
        <v>2</v>
      </c>
      <c r="U63">
        <v>15</v>
      </c>
      <c r="V63" t="s">
        <v>1381</v>
      </c>
    </row>
    <row r="64" spans="1:22" x14ac:dyDescent="0.25">
      <c r="A64" t="s">
        <v>2145</v>
      </c>
      <c r="B64">
        <v>2011</v>
      </c>
      <c r="C64" t="s">
        <v>58</v>
      </c>
      <c r="D64" t="s">
        <v>57</v>
      </c>
      <c r="E64" t="s">
        <v>42</v>
      </c>
      <c r="F64" t="s">
        <v>35</v>
      </c>
      <c r="G64" t="s">
        <v>25</v>
      </c>
      <c r="H64" t="s">
        <v>4</v>
      </c>
      <c r="I64" t="s">
        <v>3</v>
      </c>
      <c r="J64" t="s">
        <v>2</v>
      </c>
      <c r="K64">
        <v>0</v>
      </c>
      <c r="M64">
        <v>0.05</v>
      </c>
      <c r="N64" t="s">
        <v>2144</v>
      </c>
      <c r="P64">
        <v>75313</v>
      </c>
      <c r="Q64">
        <v>0.76</v>
      </c>
      <c r="R64">
        <v>0.77</v>
      </c>
      <c r="S64" t="b">
        <v>0</v>
      </c>
      <c r="T64">
        <v>3</v>
      </c>
      <c r="U64">
        <v>18</v>
      </c>
      <c r="V64" t="s">
        <v>1381</v>
      </c>
    </row>
    <row r="65" spans="1:22" x14ac:dyDescent="0.25">
      <c r="A65" t="s">
        <v>2143</v>
      </c>
      <c r="B65">
        <v>2011</v>
      </c>
      <c r="C65" t="s">
        <v>70</v>
      </c>
      <c r="D65" t="s">
        <v>18</v>
      </c>
      <c r="E65" t="s">
        <v>50</v>
      </c>
      <c r="F65" t="s">
        <v>26</v>
      </c>
      <c r="G65" t="s">
        <v>25</v>
      </c>
      <c r="H65" t="s">
        <v>179</v>
      </c>
      <c r="I65" t="s">
        <v>107</v>
      </c>
      <c r="J65" t="s">
        <v>79</v>
      </c>
      <c r="K65">
        <v>0</v>
      </c>
      <c r="M65">
        <v>0.18</v>
      </c>
      <c r="N65" t="s">
        <v>2142</v>
      </c>
      <c r="P65">
        <v>50011</v>
      </c>
      <c r="Q65">
        <v>-2.52</v>
      </c>
      <c r="R65">
        <v>0.8</v>
      </c>
      <c r="S65" t="b">
        <v>0</v>
      </c>
      <c r="T65">
        <v>1</v>
      </c>
      <c r="U65">
        <v>16</v>
      </c>
      <c r="V65" t="s">
        <v>1381</v>
      </c>
    </row>
    <row r="66" spans="1:22" x14ac:dyDescent="0.25">
      <c r="A66" t="s">
        <v>2141</v>
      </c>
      <c r="B66">
        <v>2011</v>
      </c>
      <c r="C66" t="s">
        <v>161</v>
      </c>
      <c r="D66" t="s">
        <v>8</v>
      </c>
      <c r="E66" t="s">
        <v>56</v>
      </c>
      <c r="F66" t="s">
        <v>124</v>
      </c>
      <c r="G66" t="s">
        <v>135</v>
      </c>
      <c r="H66" t="s">
        <v>4</v>
      </c>
      <c r="I66" t="s">
        <v>33</v>
      </c>
      <c r="J66" t="s">
        <v>23</v>
      </c>
      <c r="K66">
        <v>0</v>
      </c>
      <c r="M66">
        <v>0.2</v>
      </c>
      <c r="N66" t="s">
        <v>2140</v>
      </c>
      <c r="P66">
        <v>23406</v>
      </c>
      <c r="Q66">
        <v>-4.3099999999999996</v>
      </c>
      <c r="R66">
        <v>0.74</v>
      </c>
      <c r="S66" t="b">
        <v>0</v>
      </c>
      <c r="T66">
        <v>3</v>
      </c>
      <c r="U66">
        <v>19</v>
      </c>
      <c r="V66" t="s">
        <v>1381</v>
      </c>
    </row>
    <row r="67" spans="1:22" x14ac:dyDescent="0.25">
      <c r="A67" t="s">
        <v>2139</v>
      </c>
      <c r="B67">
        <v>2011</v>
      </c>
      <c r="C67" t="s">
        <v>65</v>
      </c>
      <c r="D67" t="s">
        <v>64</v>
      </c>
      <c r="E67" t="s">
        <v>17</v>
      </c>
      <c r="F67" t="s">
        <v>6</v>
      </c>
      <c r="G67" t="s">
        <v>135</v>
      </c>
      <c r="H67" t="s">
        <v>179</v>
      </c>
      <c r="I67" t="s">
        <v>40</v>
      </c>
      <c r="J67" t="s">
        <v>23</v>
      </c>
      <c r="K67">
        <v>0</v>
      </c>
      <c r="M67">
        <v>0.16</v>
      </c>
      <c r="N67" t="s">
        <v>2138</v>
      </c>
      <c r="P67">
        <v>72210</v>
      </c>
      <c r="Q67">
        <v>1.35</v>
      </c>
      <c r="R67">
        <v>0.64</v>
      </c>
      <c r="S67" t="b">
        <v>0</v>
      </c>
      <c r="T67">
        <v>3</v>
      </c>
      <c r="U67">
        <v>2</v>
      </c>
      <c r="V67" t="s">
        <v>1381</v>
      </c>
    </row>
    <row r="68" spans="1:22" x14ac:dyDescent="0.25">
      <c r="A68" t="s">
        <v>2137</v>
      </c>
      <c r="B68">
        <v>2011</v>
      </c>
      <c r="C68" t="s">
        <v>164</v>
      </c>
      <c r="D68" t="s">
        <v>8</v>
      </c>
      <c r="E68" t="s">
        <v>50</v>
      </c>
      <c r="F68" t="s">
        <v>55</v>
      </c>
      <c r="G68" t="s">
        <v>5</v>
      </c>
      <c r="H68" t="s">
        <v>85</v>
      </c>
      <c r="I68" t="s">
        <v>97</v>
      </c>
      <c r="J68" t="s">
        <v>23</v>
      </c>
      <c r="K68">
        <v>0</v>
      </c>
      <c r="M68">
        <v>0.11</v>
      </c>
      <c r="N68" t="s">
        <v>2136</v>
      </c>
      <c r="P68">
        <v>17960</v>
      </c>
      <c r="Q68">
        <v>2.08</v>
      </c>
      <c r="R68">
        <v>0.76</v>
      </c>
      <c r="S68" t="b">
        <v>0</v>
      </c>
      <c r="T68">
        <v>2</v>
      </c>
      <c r="U68">
        <v>11</v>
      </c>
      <c r="V68" t="s">
        <v>1381</v>
      </c>
    </row>
    <row r="69" spans="1:22" x14ac:dyDescent="0.25">
      <c r="A69" t="s">
        <v>2135</v>
      </c>
      <c r="B69">
        <v>2011</v>
      </c>
      <c r="C69" t="s">
        <v>157</v>
      </c>
      <c r="D69" t="s">
        <v>18</v>
      </c>
      <c r="E69" t="s">
        <v>130</v>
      </c>
      <c r="F69" t="s">
        <v>35</v>
      </c>
      <c r="G69" t="s">
        <v>62</v>
      </c>
      <c r="H69" t="s">
        <v>141</v>
      </c>
      <c r="I69" t="s">
        <v>40</v>
      </c>
      <c r="J69" t="s">
        <v>23</v>
      </c>
      <c r="K69">
        <v>0</v>
      </c>
      <c r="M69">
        <v>0.2</v>
      </c>
      <c r="N69" t="s">
        <v>1582</v>
      </c>
      <c r="P69">
        <v>56175</v>
      </c>
      <c r="Q69">
        <v>2.75</v>
      </c>
      <c r="R69">
        <v>0.71</v>
      </c>
      <c r="S69" t="b">
        <v>0</v>
      </c>
      <c r="T69">
        <v>3</v>
      </c>
      <c r="U69">
        <v>7</v>
      </c>
      <c r="V69" t="s">
        <v>1381</v>
      </c>
    </row>
    <row r="70" spans="1:22" x14ac:dyDescent="0.25">
      <c r="A70" t="s">
        <v>2134</v>
      </c>
      <c r="B70">
        <v>2011</v>
      </c>
      <c r="C70" t="s">
        <v>281</v>
      </c>
      <c r="D70" t="s">
        <v>91</v>
      </c>
      <c r="E70" t="s">
        <v>36</v>
      </c>
      <c r="F70" t="s">
        <v>63</v>
      </c>
      <c r="G70" t="s">
        <v>62</v>
      </c>
      <c r="H70" t="s">
        <v>49</v>
      </c>
      <c r="I70" t="s">
        <v>14</v>
      </c>
      <c r="J70" t="s">
        <v>96</v>
      </c>
      <c r="K70">
        <v>1</v>
      </c>
      <c r="L70" t="s">
        <v>515</v>
      </c>
      <c r="M70">
        <v>0.46</v>
      </c>
      <c r="N70" t="s">
        <v>2133</v>
      </c>
      <c r="O70" t="s">
        <v>515</v>
      </c>
      <c r="P70">
        <v>66281</v>
      </c>
      <c r="Q70">
        <v>-1.1499999999999999</v>
      </c>
      <c r="R70">
        <v>0.16</v>
      </c>
      <c r="S70" t="b">
        <v>1</v>
      </c>
      <c r="T70">
        <v>1</v>
      </c>
      <c r="U70">
        <v>5</v>
      </c>
      <c r="V70" t="s">
        <v>1381</v>
      </c>
    </row>
    <row r="71" spans="1:22" x14ac:dyDescent="0.25">
      <c r="A71" t="s">
        <v>2132</v>
      </c>
      <c r="B71">
        <v>2011</v>
      </c>
      <c r="C71" t="s">
        <v>378</v>
      </c>
      <c r="D71" t="s">
        <v>43</v>
      </c>
      <c r="E71" t="s">
        <v>130</v>
      </c>
      <c r="F71" t="s">
        <v>6</v>
      </c>
      <c r="G71" t="s">
        <v>135</v>
      </c>
      <c r="H71" t="s">
        <v>34</v>
      </c>
      <c r="I71" t="s">
        <v>24</v>
      </c>
      <c r="J71" t="s">
        <v>73</v>
      </c>
      <c r="K71">
        <v>0</v>
      </c>
      <c r="M71">
        <v>0.03</v>
      </c>
      <c r="N71" t="s">
        <v>2131</v>
      </c>
      <c r="P71">
        <v>66036</v>
      </c>
      <c r="Q71">
        <v>-4.1399999999999997</v>
      </c>
      <c r="R71">
        <v>0.82</v>
      </c>
      <c r="S71" t="b">
        <v>0</v>
      </c>
      <c r="T71">
        <v>1</v>
      </c>
      <c r="U71">
        <v>10</v>
      </c>
      <c r="V71" t="s">
        <v>1381</v>
      </c>
    </row>
    <row r="72" spans="1:22" x14ac:dyDescent="0.25">
      <c r="A72" t="s">
        <v>2130</v>
      </c>
      <c r="B72">
        <v>2011</v>
      </c>
      <c r="C72" t="s">
        <v>9</v>
      </c>
      <c r="D72" t="s">
        <v>8</v>
      </c>
      <c r="E72" t="s">
        <v>27</v>
      </c>
      <c r="F72" t="s">
        <v>26</v>
      </c>
      <c r="G72" t="s">
        <v>16</v>
      </c>
      <c r="H72" t="s">
        <v>141</v>
      </c>
      <c r="I72" t="s">
        <v>14</v>
      </c>
      <c r="J72" t="s">
        <v>96</v>
      </c>
      <c r="K72">
        <v>0</v>
      </c>
      <c r="M72">
        <v>0.17</v>
      </c>
      <c r="N72" t="s">
        <v>2129</v>
      </c>
      <c r="P72">
        <v>17772</v>
      </c>
      <c r="Q72">
        <v>4.96</v>
      </c>
      <c r="R72">
        <v>0.76</v>
      </c>
      <c r="S72" t="b">
        <v>0</v>
      </c>
      <c r="T72">
        <v>2</v>
      </c>
      <c r="U72">
        <v>9</v>
      </c>
      <c r="V72" t="s">
        <v>1381</v>
      </c>
    </row>
    <row r="73" spans="1:22" x14ac:dyDescent="0.25">
      <c r="A73" t="s">
        <v>2128</v>
      </c>
      <c r="B73">
        <v>2011</v>
      </c>
      <c r="C73" t="s">
        <v>70</v>
      </c>
      <c r="D73" t="s">
        <v>18</v>
      </c>
      <c r="E73" t="s">
        <v>182</v>
      </c>
      <c r="F73" t="s">
        <v>26</v>
      </c>
      <c r="G73" t="s">
        <v>62</v>
      </c>
      <c r="H73" t="s">
        <v>4</v>
      </c>
      <c r="I73" t="s">
        <v>3</v>
      </c>
      <c r="J73" t="s">
        <v>73</v>
      </c>
      <c r="K73">
        <v>0</v>
      </c>
      <c r="M73">
        <v>0.13</v>
      </c>
      <c r="N73" t="s">
        <v>2127</v>
      </c>
      <c r="P73">
        <v>50703</v>
      </c>
      <c r="Q73">
        <v>3.69</v>
      </c>
      <c r="R73">
        <v>0.65</v>
      </c>
      <c r="S73" t="b">
        <v>0</v>
      </c>
      <c r="T73">
        <v>3</v>
      </c>
      <c r="U73">
        <v>8</v>
      </c>
      <c r="V73" t="s">
        <v>1381</v>
      </c>
    </row>
    <row r="74" spans="1:22" x14ac:dyDescent="0.25">
      <c r="A74" t="s">
        <v>2126</v>
      </c>
      <c r="B74">
        <v>2011</v>
      </c>
      <c r="C74" t="s">
        <v>298</v>
      </c>
      <c r="D74" t="s">
        <v>125</v>
      </c>
      <c r="E74" t="s">
        <v>42</v>
      </c>
      <c r="F74" t="s">
        <v>41</v>
      </c>
      <c r="G74" t="s">
        <v>25</v>
      </c>
      <c r="H74" t="s">
        <v>49</v>
      </c>
      <c r="I74" t="s">
        <v>90</v>
      </c>
      <c r="J74" t="s">
        <v>73</v>
      </c>
      <c r="K74">
        <v>0</v>
      </c>
      <c r="M74">
        <v>0.13</v>
      </c>
      <c r="N74" t="s">
        <v>2125</v>
      </c>
      <c r="P74">
        <v>21249</v>
      </c>
      <c r="Q74">
        <v>-0.16</v>
      </c>
      <c r="R74">
        <v>0.81</v>
      </c>
      <c r="S74" t="b">
        <v>0</v>
      </c>
      <c r="T74">
        <v>2</v>
      </c>
      <c r="U74">
        <v>16</v>
      </c>
      <c r="V74" t="s">
        <v>1381</v>
      </c>
    </row>
    <row r="75" spans="1:22" x14ac:dyDescent="0.25">
      <c r="A75" t="s">
        <v>2124</v>
      </c>
      <c r="B75">
        <v>2011</v>
      </c>
      <c r="C75" t="s">
        <v>171</v>
      </c>
      <c r="D75" t="s">
        <v>57</v>
      </c>
      <c r="E75" t="s">
        <v>50</v>
      </c>
      <c r="F75" t="s">
        <v>136</v>
      </c>
      <c r="G75" t="s">
        <v>16</v>
      </c>
      <c r="H75" t="s">
        <v>4</v>
      </c>
      <c r="I75" t="s">
        <v>3</v>
      </c>
      <c r="J75" t="s">
        <v>73</v>
      </c>
      <c r="K75">
        <v>0</v>
      </c>
      <c r="M75">
        <v>0.14000000000000001</v>
      </c>
      <c r="N75" t="s">
        <v>2123</v>
      </c>
      <c r="P75">
        <v>59035</v>
      </c>
      <c r="Q75">
        <v>-4.46</v>
      </c>
      <c r="R75">
        <v>0.73</v>
      </c>
      <c r="S75" t="b">
        <v>0</v>
      </c>
      <c r="T75">
        <v>1</v>
      </c>
      <c r="U75">
        <v>2</v>
      </c>
      <c r="V75" t="s">
        <v>1381</v>
      </c>
    </row>
    <row r="76" spans="1:22" x14ac:dyDescent="0.25">
      <c r="A76" t="s">
        <v>2122</v>
      </c>
      <c r="B76">
        <v>2011</v>
      </c>
      <c r="C76" t="s">
        <v>304</v>
      </c>
      <c r="D76" t="s">
        <v>131</v>
      </c>
      <c r="E76" t="s">
        <v>147</v>
      </c>
      <c r="F76" t="s">
        <v>80</v>
      </c>
      <c r="G76" t="s">
        <v>135</v>
      </c>
      <c r="H76" t="s">
        <v>34</v>
      </c>
      <c r="I76" t="s">
        <v>40</v>
      </c>
      <c r="J76" t="s">
        <v>23</v>
      </c>
      <c r="K76">
        <v>1</v>
      </c>
      <c r="L76" t="s">
        <v>110</v>
      </c>
      <c r="M76">
        <v>0.85</v>
      </c>
      <c r="N76" t="s">
        <v>2121</v>
      </c>
      <c r="O76" t="s">
        <v>110</v>
      </c>
      <c r="P76">
        <v>38033</v>
      </c>
      <c r="Q76">
        <v>1.1100000000000001</v>
      </c>
      <c r="R76">
        <v>0.35</v>
      </c>
      <c r="S76" t="b">
        <v>1</v>
      </c>
      <c r="T76">
        <v>3</v>
      </c>
      <c r="U76">
        <v>12</v>
      </c>
      <c r="V76" t="s">
        <v>1381</v>
      </c>
    </row>
    <row r="77" spans="1:22" x14ac:dyDescent="0.25">
      <c r="A77" t="s">
        <v>2120</v>
      </c>
      <c r="B77">
        <v>2011</v>
      </c>
      <c r="C77" t="s">
        <v>19</v>
      </c>
      <c r="D77" t="s">
        <v>18</v>
      </c>
      <c r="E77" t="s">
        <v>36</v>
      </c>
      <c r="F77" t="s">
        <v>69</v>
      </c>
      <c r="G77" t="s">
        <v>5</v>
      </c>
      <c r="H77" t="s">
        <v>85</v>
      </c>
      <c r="I77" t="s">
        <v>24</v>
      </c>
      <c r="J77" t="s">
        <v>23</v>
      </c>
      <c r="K77">
        <v>0</v>
      </c>
      <c r="M77">
        <v>0.14000000000000001</v>
      </c>
      <c r="N77" t="s">
        <v>2119</v>
      </c>
      <c r="P77">
        <v>58561</v>
      </c>
      <c r="Q77">
        <v>0.75</v>
      </c>
      <c r="R77">
        <v>0.66</v>
      </c>
      <c r="S77" t="b">
        <v>0</v>
      </c>
      <c r="T77">
        <v>3</v>
      </c>
      <c r="U77">
        <v>1</v>
      </c>
      <c r="V77" t="s">
        <v>1381</v>
      </c>
    </row>
    <row r="78" spans="1:22" x14ac:dyDescent="0.25">
      <c r="A78" t="s">
        <v>2118</v>
      </c>
      <c r="B78">
        <v>2011</v>
      </c>
      <c r="C78" t="s">
        <v>92</v>
      </c>
      <c r="D78" t="s">
        <v>91</v>
      </c>
      <c r="E78" t="s">
        <v>36</v>
      </c>
      <c r="F78" t="s">
        <v>55</v>
      </c>
      <c r="G78" t="s">
        <v>135</v>
      </c>
      <c r="H78" t="s">
        <v>102</v>
      </c>
      <c r="I78" t="s">
        <v>40</v>
      </c>
      <c r="J78" t="s">
        <v>79</v>
      </c>
      <c r="K78">
        <v>0</v>
      </c>
      <c r="M78">
        <v>0.08</v>
      </c>
      <c r="N78" t="s">
        <v>1785</v>
      </c>
      <c r="P78">
        <v>53646</v>
      </c>
      <c r="Q78">
        <v>2.0099999999999998</v>
      </c>
      <c r="R78">
        <v>0.87</v>
      </c>
      <c r="S78" t="b">
        <v>0</v>
      </c>
      <c r="T78">
        <v>1</v>
      </c>
      <c r="U78">
        <v>7</v>
      </c>
      <c r="V78" t="s">
        <v>1381</v>
      </c>
    </row>
    <row r="79" spans="1:22" x14ac:dyDescent="0.25">
      <c r="A79" t="s">
        <v>2117</v>
      </c>
      <c r="B79">
        <v>2011</v>
      </c>
      <c r="C79" t="s">
        <v>58</v>
      </c>
      <c r="D79" t="s">
        <v>57</v>
      </c>
      <c r="E79" t="s">
        <v>182</v>
      </c>
      <c r="F79" t="s">
        <v>80</v>
      </c>
      <c r="G79" t="s">
        <v>135</v>
      </c>
      <c r="H79" t="s">
        <v>179</v>
      </c>
      <c r="I79" t="s">
        <v>3</v>
      </c>
      <c r="J79" t="s">
        <v>23</v>
      </c>
      <c r="K79">
        <v>0</v>
      </c>
      <c r="M79">
        <v>7.0000000000000007E-2</v>
      </c>
      <c r="N79" t="s">
        <v>2116</v>
      </c>
      <c r="P79">
        <v>69086</v>
      </c>
      <c r="Q79">
        <v>1.71</v>
      </c>
      <c r="R79">
        <v>0.84</v>
      </c>
      <c r="S79" t="b">
        <v>0</v>
      </c>
      <c r="T79">
        <v>3</v>
      </c>
      <c r="U79">
        <v>5</v>
      </c>
      <c r="V79" t="s">
        <v>1381</v>
      </c>
    </row>
    <row r="80" spans="1:22" x14ac:dyDescent="0.25">
      <c r="A80" t="s">
        <v>2115</v>
      </c>
      <c r="B80">
        <v>2011</v>
      </c>
      <c r="C80" t="s">
        <v>378</v>
      </c>
      <c r="D80" t="s">
        <v>43</v>
      </c>
      <c r="E80" t="s">
        <v>147</v>
      </c>
      <c r="F80" t="s">
        <v>156</v>
      </c>
      <c r="G80" t="s">
        <v>135</v>
      </c>
      <c r="H80" t="s">
        <v>34</v>
      </c>
      <c r="I80" t="s">
        <v>40</v>
      </c>
      <c r="J80" t="s">
        <v>73</v>
      </c>
      <c r="K80">
        <v>0</v>
      </c>
      <c r="M80">
        <v>0.04</v>
      </c>
      <c r="N80" t="s">
        <v>2114</v>
      </c>
      <c r="P80">
        <v>61248</v>
      </c>
      <c r="Q80">
        <v>-3.36</v>
      </c>
      <c r="R80">
        <v>0.74</v>
      </c>
      <c r="S80" t="b">
        <v>0</v>
      </c>
      <c r="T80">
        <v>1</v>
      </c>
      <c r="U80">
        <v>11</v>
      </c>
      <c r="V80" t="s">
        <v>1381</v>
      </c>
    </row>
    <row r="81" spans="1:22" x14ac:dyDescent="0.25">
      <c r="A81" t="s">
        <v>2113</v>
      </c>
      <c r="B81">
        <v>2011</v>
      </c>
      <c r="C81" t="s">
        <v>148</v>
      </c>
      <c r="D81" t="s">
        <v>28</v>
      </c>
      <c r="E81" t="s">
        <v>182</v>
      </c>
      <c r="F81" t="s">
        <v>112</v>
      </c>
      <c r="G81" t="s">
        <v>16</v>
      </c>
      <c r="H81" t="s">
        <v>141</v>
      </c>
      <c r="I81" t="s">
        <v>33</v>
      </c>
      <c r="J81" t="s">
        <v>2</v>
      </c>
      <c r="K81">
        <v>0</v>
      </c>
      <c r="M81">
        <v>0.02</v>
      </c>
      <c r="N81" t="s">
        <v>2112</v>
      </c>
      <c r="P81">
        <v>32863</v>
      </c>
      <c r="Q81">
        <v>-1.38</v>
      </c>
      <c r="R81">
        <v>0.82</v>
      </c>
      <c r="S81" t="b">
        <v>0</v>
      </c>
      <c r="T81">
        <v>2</v>
      </c>
      <c r="U81">
        <v>13</v>
      </c>
      <c r="V81" t="s">
        <v>1381</v>
      </c>
    </row>
    <row r="82" spans="1:22" x14ac:dyDescent="0.25">
      <c r="A82" t="s">
        <v>2111</v>
      </c>
      <c r="B82">
        <v>2011</v>
      </c>
      <c r="C82" t="s">
        <v>161</v>
      </c>
      <c r="D82" t="s">
        <v>8</v>
      </c>
      <c r="E82" t="s">
        <v>7</v>
      </c>
      <c r="F82" t="s">
        <v>6</v>
      </c>
      <c r="G82" t="s">
        <v>5</v>
      </c>
      <c r="H82" t="s">
        <v>49</v>
      </c>
      <c r="I82" t="s">
        <v>3</v>
      </c>
      <c r="J82" t="s">
        <v>73</v>
      </c>
      <c r="K82">
        <v>0</v>
      </c>
      <c r="M82">
        <v>0.15</v>
      </c>
      <c r="N82" t="s">
        <v>2110</v>
      </c>
      <c r="P82">
        <v>20310</v>
      </c>
      <c r="Q82">
        <v>4.83</v>
      </c>
      <c r="R82">
        <v>0.84</v>
      </c>
      <c r="S82" t="b">
        <v>0</v>
      </c>
      <c r="T82">
        <v>2</v>
      </c>
      <c r="U82">
        <v>16</v>
      </c>
      <c r="V82" t="s">
        <v>1381</v>
      </c>
    </row>
    <row r="83" spans="1:22" x14ac:dyDescent="0.25">
      <c r="A83" t="s">
        <v>2109</v>
      </c>
      <c r="B83">
        <v>2011</v>
      </c>
      <c r="C83" t="s">
        <v>70</v>
      </c>
      <c r="D83" t="s">
        <v>18</v>
      </c>
      <c r="E83" t="s">
        <v>219</v>
      </c>
      <c r="F83" t="s">
        <v>124</v>
      </c>
      <c r="G83" t="s">
        <v>5</v>
      </c>
      <c r="H83" t="s">
        <v>102</v>
      </c>
      <c r="I83" t="s">
        <v>97</v>
      </c>
      <c r="J83" t="s">
        <v>73</v>
      </c>
      <c r="K83">
        <v>0</v>
      </c>
      <c r="M83">
        <v>0.12</v>
      </c>
      <c r="N83" t="s">
        <v>2108</v>
      </c>
      <c r="P83">
        <v>59251</v>
      </c>
      <c r="Q83">
        <v>-3.33</v>
      </c>
      <c r="R83">
        <v>0.62</v>
      </c>
      <c r="S83" t="b">
        <v>0</v>
      </c>
      <c r="T83">
        <v>1</v>
      </c>
      <c r="U83">
        <v>17</v>
      </c>
      <c r="V83" t="s">
        <v>1381</v>
      </c>
    </row>
    <row r="84" spans="1:22" x14ac:dyDescent="0.25">
      <c r="A84" t="s">
        <v>2107</v>
      </c>
      <c r="B84">
        <v>2011</v>
      </c>
      <c r="C84" t="s">
        <v>152</v>
      </c>
      <c r="D84" t="s">
        <v>28</v>
      </c>
      <c r="E84" t="s">
        <v>56</v>
      </c>
      <c r="F84" t="s">
        <v>112</v>
      </c>
      <c r="G84" t="s">
        <v>16</v>
      </c>
      <c r="H84" t="s">
        <v>15</v>
      </c>
      <c r="I84" t="s">
        <v>33</v>
      </c>
      <c r="J84" t="s">
        <v>23</v>
      </c>
      <c r="K84">
        <v>0</v>
      </c>
      <c r="M84">
        <v>0.13</v>
      </c>
      <c r="N84" t="s">
        <v>2106</v>
      </c>
      <c r="P84">
        <v>31354</v>
      </c>
      <c r="Q84">
        <v>1.78</v>
      </c>
      <c r="R84">
        <v>0.77</v>
      </c>
      <c r="S84" t="b">
        <v>0</v>
      </c>
      <c r="T84">
        <v>3</v>
      </c>
      <c r="U84">
        <v>19</v>
      </c>
      <c r="V84" t="s">
        <v>1381</v>
      </c>
    </row>
    <row r="85" spans="1:22" x14ac:dyDescent="0.25">
      <c r="A85" s="1" t="s">
        <v>2105</v>
      </c>
      <c r="B85">
        <v>2011</v>
      </c>
      <c r="C85" t="s">
        <v>81</v>
      </c>
      <c r="D85" t="s">
        <v>28</v>
      </c>
      <c r="E85" t="s">
        <v>182</v>
      </c>
      <c r="F85" t="s">
        <v>108</v>
      </c>
      <c r="G85" t="s">
        <v>135</v>
      </c>
      <c r="H85" t="s">
        <v>34</v>
      </c>
      <c r="I85" t="s">
        <v>97</v>
      </c>
      <c r="J85" t="s">
        <v>23</v>
      </c>
      <c r="K85">
        <v>0</v>
      </c>
      <c r="M85">
        <v>0.13</v>
      </c>
      <c r="N85" t="s">
        <v>2063</v>
      </c>
      <c r="P85">
        <v>33799</v>
      </c>
      <c r="Q85">
        <v>4.16</v>
      </c>
      <c r="R85">
        <v>0.81</v>
      </c>
      <c r="S85" t="b">
        <v>0</v>
      </c>
      <c r="T85">
        <v>3</v>
      </c>
      <c r="U85">
        <v>10</v>
      </c>
      <c r="V85" t="s">
        <v>1381</v>
      </c>
    </row>
    <row r="86" spans="1:22" x14ac:dyDescent="0.25">
      <c r="A86" t="s">
        <v>2104</v>
      </c>
      <c r="B86">
        <v>2011</v>
      </c>
      <c r="C86" t="s">
        <v>44</v>
      </c>
      <c r="D86" t="s">
        <v>43</v>
      </c>
      <c r="E86" t="s">
        <v>36</v>
      </c>
      <c r="F86" t="s">
        <v>26</v>
      </c>
      <c r="G86" t="s">
        <v>135</v>
      </c>
      <c r="H86" t="s">
        <v>141</v>
      </c>
      <c r="I86" t="s">
        <v>3</v>
      </c>
      <c r="J86" t="s">
        <v>79</v>
      </c>
      <c r="K86">
        <v>0</v>
      </c>
      <c r="M86">
        <v>0.01</v>
      </c>
      <c r="N86" t="s">
        <v>39</v>
      </c>
      <c r="P86">
        <v>64299</v>
      </c>
      <c r="Q86">
        <v>0.23</v>
      </c>
      <c r="R86">
        <v>0.8</v>
      </c>
      <c r="S86" t="b">
        <v>0</v>
      </c>
      <c r="T86">
        <v>2</v>
      </c>
      <c r="U86">
        <v>6</v>
      </c>
      <c r="V86" t="s">
        <v>1381</v>
      </c>
    </row>
    <row r="87" spans="1:22" x14ac:dyDescent="0.25">
      <c r="A87" t="s">
        <v>2103</v>
      </c>
      <c r="B87">
        <v>2011</v>
      </c>
      <c r="C87" t="s">
        <v>19</v>
      </c>
      <c r="D87" t="s">
        <v>18</v>
      </c>
      <c r="E87" t="s">
        <v>219</v>
      </c>
      <c r="F87" t="s">
        <v>6</v>
      </c>
      <c r="G87" t="s">
        <v>135</v>
      </c>
      <c r="H87" t="s">
        <v>4</v>
      </c>
      <c r="I87" t="s">
        <v>97</v>
      </c>
      <c r="J87" t="s">
        <v>23</v>
      </c>
      <c r="K87">
        <v>0</v>
      </c>
      <c r="M87">
        <v>0.19</v>
      </c>
      <c r="N87" t="s">
        <v>2102</v>
      </c>
      <c r="P87">
        <v>64857</v>
      </c>
      <c r="Q87">
        <v>-3.81</v>
      </c>
      <c r="R87">
        <v>0.75</v>
      </c>
      <c r="S87" t="b">
        <v>0</v>
      </c>
      <c r="T87">
        <v>1</v>
      </c>
      <c r="U87">
        <v>11</v>
      </c>
      <c r="V87" t="s">
        <v>1381</v>
      </c>
    </row>
    <row r="88" spans="1:22" x14ac:dyDescent="0.25">
      <c r="A88" t="s">
        <v>2101</v>
      </c>
      <c r="B88">
        <v>2011</v>
      </c>
      <c r="C88" t="s">
        <v>44</v>
      </c>
      <c r="D88" t="s">
        <v>43</v>
      </c>
      <c r="E88" t="s">
        <v>121</v>
      </c>
      <c r="F88" t="s">
        <v>55</v>
      </c>
      <c r="G88" t="s">
        <v>135</v>
      </c>
      <c r="H88" t="s">
        <v>141</v>
      </c>
      <c r="I88" t="s">
        <v>68</v>
      </c>
      <c r="J88" t="s">
        <v>23</v>
      </c>
      <c r="K88">
        <v>0</v>
      </c>
      <c r="M88">
        <v>0.13</v>
      </c>
      <c r="N88" t="s">
        <v>2100</v>
      </c>
      <c r="P88">
        <v>69995</v>
      </c>
      <c r="Q88">
        <v>-2.2200000000000002</v>
      </c>
      <c r="R88">
        <v>0.64</v>
      </c>
      <c r="S88" t="b">
        <v>0</v>
      </c>
      <c r="T88">
        <v>2</v>
      </c>
      <c r="U88">
        <v>2</v>
      </c>
      <c r="V88" t="s">
        <v>1381</v>
      </c>
    </row>
    <row r="89" spans="1:22" x14ac:dyDescent="0.25">
      <c r="A89" t="s">
        <v>2099</v>
      </c>
      <c r="B89">
        <v>2011</v>
      </c>
      <c r="C89" t="s">
        <v>304</v>
      </c>
      <c r="D89" t="s">
        <v>131</v>
      </c>
      <c r="E89" t="s">
        <v>130</v>
      </c>
      <c r="F89" t="s">
        <v>63</v>
      </c>
      <c r="G89" t="s">
        <v>135</v>
      </c>
      <c r="H89" t="s">
        <v>85</v>
      </c>
      <c r="I89" t="s">
        <v>14</v>
      </c>
      <c r="J89" t="s">
        <v>23</v>
      </c>
      <c r="K89">
        <v>0</v>
      </c>
      <c r="M89">
        <v>0.09</v>
      </c>
      <c r="N89" t="s">
        <v>2098</v>
      </c>
      <c r="P89">
        <v>34470</v>
      </c>
      <c r="Q89">
        <v>-4.07</v>
      </c>
      <c r="R89">
        <v>0.82</v>
      </c>
      <c r="S89" t="b">
        <v>0</v>
      </c>
      <c r="T89">
        <v>3</v>
      </c>
      <c r="U89">
        <v>13</v>
      </c>
      <c r="V89" t="s">
        <v>1381</v>
      </c>
    </row>
    <row r="90" spans="1:22" x14ac:dyDescent="0.25">
      <c r="A90" t="s">
        <v>2097</v>
      </c>
      <c r="B90">
        <v>2011</v>
      </c>
      <c r="C90" t="s">
        <v>215</v>
      </c>
      <c r="D90" t="s">
        <v>91</v>
      </c>
      <c r="E90" t="s">
        <v>42</v>
      </c>
      <c r="F90" t="s">
        <v>156</v>
      </c>
      <c r="G90" t="s">
        <v>135</v>
      </c>
      <c r="H90" t="s">
        <v>141</v>
      </c>
      <c r="I90" t="s">
        <v>107</v>
      </c>
      <c r="J90" t="s">
        <v>79</v>
      </c>
      <c r="K90">
        <v>0</v>
      </c>
      <c r="M90">
        <v>0.03</v>
      </c>
      <c r="N90" t="s">
        <v>2096</v>
      </c>
      <c r="P90">
        <v>47073</v>
      </c>
      <c r="Q90">
        <v>0.68</v>
      </c>
      <c r="R90">
        <v>0.9</v>
      </c>
      <c r="S90" t="b">
        <v>0</v>
      </c>
      <c r="T90">
        <v>2</v>
      </c>
      <c r="U90">
        <v>8</v>
      </c>
      <c r="V90" t="s">
        <v>1381</v>
      </c>
    </row>
    <row r="91" spans="1:22" x14ac:dyDescent="0.25">
      <c r="A91" t="s">
        <v>2095</v>
      </c>
      <c r="B91">
        <v>2011</v>
      </c>
      <c r="C91" t="s">
        <v>29</v>
      </c>
      <c r="D91" t="s">
        <v>28</v>
      </c>
      <c r="E91" t="s">
        <v>27</v>
      </c>
      <c r="F91" t="s">
        <v>156</v>
      </c>
      <c r="G91" t="s">
        <v>135</v>
      </c>
      <c r="H91" t="s">
        <v>85</v>
      </c>
      <c r="I91" t="s">
        <v>68</v>
      </c>
      <c r="J91" t="s">
        <v>96</v>
      </c>
      <c r="K91">
        <v>0</v>
      </c>
      <c r="M91">
        <v>0.02</v>
      </c>
      <c r="N91" t="s">
        <v>2094</v>
      </c>
      <c r="P91">
        <v>33091</v>
      </c>
      <c r="Q91">
        <v>1.2</v>
      </c>
      <c r="R91">
        <v>0.81</v>
      </c>
      <c r="S91" t="b">
        <v>0</v>
      </c>
      <c r="T91">
        <v>2</v>
      </c>
      <c r="U91">
        <v>9</v>
      </c>
      <c r="V91" t="s">
        <v>1381</v>
      </c>
    </row>
    <row r="92" spans="1:22" x14ac:dyDescent="0.25">
      <c r="A92" t="s">
        <v>2093</v>
      </c>
      <c r="B92">
        <v>2011</v>
      </c>
      <c r="C92" t="s">
        <v>171</v>
      </c>
      <c r="D92" t="s">
        <v>57</v>
      </c>
      <c r="E92" t="s">
        <v>7</v>
      </c>
      <c r="F92" t="s">
        <v>136</v>
      </c>
      <c r="G92" t="s">
        <v>16</v>
      </c>
      <c r="H92" t="s">
        <v>49</v>
      </c>
      <c r="I92" t="s">
        <v>24</v>
      </c>
      <c r="J92" t="s">
        <v>13</v>
      </c>
      <c r="K92">
        <v>0</v>
      </c>
      <c r="M92">
        <v>0.2</v>
      </c>
      <c r="N92" t="s">
        <v>2092</v>
      </c>
      <c r="P92">
        <v>59057</v>
      </c>
      <c r="Q92">
        <v>0.94</v>
      </c>
      <c r="R92">
        <v>0.85</v>
      </c>
      <c r="S92" t="b">
        <v>0</v>
      </c>
      <c r="T92">
        <v>3</v>
      </c>
      <c r="U92">
        <v>15</v>
      </c>
      <c r="V92" t="s">
        <v>1381</v>
      </c>
    </row>
    <row r="93" spans="1:22" x14ac:dyDescent="0.25">
      <c r="A93" t="s">
        <v>2091</v>
      </c>
      <c r="B93">
        <v>2011</v>
      </c>
      <c r="C93" t="s">
        <v>183</v>
      </c>
      <c r="D93" t="s">
        <v>131</v>
      </c>
      <c r="E93" t="s">
        <v>86</v>
      </c>
      <c r="F93" t="s">
        <v>35</v>
      </c>
      <c r="G93" t="s">
        <v>16</v>
      </c>
      <c r="H93" t="s">
        <v>179</v>
      </c>
      <c r="I93" t="s">
        <v>90</v>
      </c>
      <c r="J93" t="s">
        <v>96</v>
      </c>
      <c r="K93">
        <v>0</v>
      </c>
      <c r="M93">
        <v>0.06</v>
      </c>
      <c r="N93" t="s">
        <v>2090</v>
      </c>
      <c r="P93">
        <v>34168</v>
      </c>
      <c r="Q93">
        <v>1.55</v>
      </c>
      <c r="R93">
        <v>0.82</v>
      </c>
      <c r="S93" t="b">
        <v>0</v>
      </c>
      <c r="T93">
        <v>3</v>
      </c>
      <c r="U93">
        <v>1</v>
      </c>
      <c r="V93" t="s">
        <v>1381</v>
      </c>
    </row>
    <row r="94" spans="1:22" x14ac:dyDescent="0.25">
      <c r="A94" t="s">
        <v>2089</v>
      </c>
      <c r="B94">
        <v>2011</v>
      </c>
      <c r="C94" t="s">
        <v>220</v>
      </c>
      <c r="D94" t="s">
        <v>91</v>
      </c>
      <c r="E94" t="s">
        <v>17</v>
      </c>
      <c r="F94" t="s">
        <v>55</v>
      </c>
      <c r="G94" t="s">
        <v>135</v>
      </c>
      <c r="H94" t="s">
        <v>4</v>
      </c>
      <c r="I94" t="s">
        <v>3</v>
      </c>
      <c r="J94" t="s">
        <v>73</v>
      </c>
      <c r="K94">
        <v>0</v>
      </c>
      <c r="M94">
        <v>0</v>
      </c>
      <c r="N94" t="s">
        <v>2088</v>
      </c>
      <c r="P94">
        <v>51787</v>
      </c>
      <c r="Q94">
        <v>-3.6</v>
      </c>
      <c r="R94">
        <v>0.74</v>
      </c>
      <c r="S94" t="b">
        <v>0</v>
      </c>
      <c r="T94">
        <v>3</v>
      </c>
      <c r="U94">
        <v>5</v>
      </c>
      <c r="V94" t="s">
        <v>1381</v>
      </c>
    </row>
    <row r="95" spans="1:22" x14ac:dyDescent="0.25">
      <c r="A95" t="s">
        <v>2087</v>
      </c>
      <c r="B95">
        <v>2011</v>
      </c>
      <c r="C95" t="s">
        <v>70</v>
      </c>
      <c r="D95" t="s">
        <v>18</v>
      </c>
      <c r="E95" t="s">
        <v>36</v>
      </c>
      <c r="F95" t="s">
        <v>156</v>
      </c>
      <c r="G95" t="s">
        <v>5</v>
      </c>
      <c r="H95" t="s">
        <v>179</v>
      </c>
      <c r="I95" t="s">
        <v>68</v>
      </c>
      <c r="J95" t="s">
        <v>23</v>
      </c>
      <c r="K95">
        <v>0</v>
      </c>
      <c r="M95">
        <v>0.11</v>
      </c>
      <c r="N95" t="s">
        <v>2086</v>
      </c>
      <c r="P95">
        <v>57036</v>
      </c>
      <c r="Q95">
        <v>4.4000000000000004</v>
      </c>
      <c r="R95">
        <v>0.84</v>
      </c>
      <c r="S95" t="b">
        <v>0</v>
      </c>
      <c r="T95">
        <v>2</v>
      </c>
      <c r="U95">
        <v>0</v>
      </c>
      <c r="V95" t="s">
        <v>1381</v>
      </c>
    </row>
    <row r="96" spans="1:22" x14ac:dyDescent="0.25">
      <c r="A96" s="1" t="s">
        <v>2085</v>
      </c>
      <c r="B96">
        <v>2011</v>
      </c>
      <c r="C96" t="s">
        <v>58</v>
      </c>
      <c r="D96" t="s">
        <v>57</v>
      </c>
      <c r="E96" t="s">
        <v>182</v>
      </c>
      <c r="F96" t="s">
        <v>6</v>
      </c>
      <c r="G96" t="s">
        <v>5</v>
      </c>
      <c r="H96" t="s">
        <v>85</v>
      </c>
      <c r="I96" t="s">
        <v>24</v>
      </c>
      <c r="J96" t="s">
        <v>2</v>
      </c>
      <c r="K96">
        <v>0</v>
      </c>
      <c r="M96">
        <v>0.19</v>
      </c>
      <c r="N96" t="s">
        <v>2084</v>
      </c>
      <c r="P96">
        <v>57960</v>
      </c>
      <c r="Q96">
        <v>3.25</v>
      </c>
      <c r="R96">
        <v>0.86</v>
      </c>
      <c r="S96" t="b">
        <v>0</v>
      </c>
      <c r="T96">
        <v>3</v>
      </c>
      <c r="U96">
        <v>10</v>
      </c>
      <c r="V96" t="s">
        <v>1381</v>
      </c>
    </row>
    <row r="97" spans="1:22" x14ac:dyDescent="0.25">
      <c r="A97" t="s">
        <v>2083</v>
      </c>
      <c r="B97">
        <v>2011</v>
      </c>
      <c r="C97" t="s">
        <v>348</v>
      </c>
      <c r="D97" t="s">
        <v>64</v>
      </c>
      <c r="E97" t="s">
        <v>7</v>
      </c>
      <c r="F97" t="s">
        <v>136</v>
      </c>
      <c r="G97" t="s">
        <v>25</v>
      </c>
      <c r="H97" t="s">
        <v>61</v>
      </c>
      <c r="I97" t="s">
        <v>90</v>
      </c>
      <c r="J97" t="s">
        <v>79</v>
      </c>
      <c r="K97">
        <v>1</v>
      </c>
      <c r="L97" t="s">
        <v>2081</v>
      </c>
      <c r="M97">
        <v>0.71</v>
      </c>
      <c r="N97" t="s">
        <v>2082</v>
      </c>
      <c r="O97" t="s">
        <v>2081</v>
      </c>
      <c r="P97">
        <v>88037</v>
      </c>
      <c r="Q97">
        <v>1.49</v>
      </c>
      <c r="R97">
        <v>0.37</v>
      </c>
      <c r="S97" t="b">
        <v>1</v>
      </c>
      <c r="T97">
        <v>2</v>
      </c>
      <c r="U97">
        <v>4</v>
      </c>
      <c r="V97" t="s">
        <v>1381</v>
      </c>
    </row>
    <row r="98" spans="1:22" x14ac:dyDescent="0.25">
      <c r="A98" t="s">
        <v>2080</v>
      </c>
      <c r="B98">
        <v>2011</v>
      </c>
      <c r="C98" t="s">
        <v>236</v>
      </c>
      <c r="D98" t="s">
        <v>131</v>
      </c>
      <c r="E98" t="s">
        <v>182</v>
      </c>
      <c r="F98" t="s">
        <v>63</v>
      </c>
      <c r="G98" t="s">
        <v>16</v>
      </c>
      <c r="H98" t="s">
        <v>49</v>
      </c>
      <c r="I98" t="s">
        <v>3</v>
      </c>
      <c r="J98" t="s">
        <v>13</v>
      </c>
      <c r="K98">
        <v>1</v>
      </c>
      <c r="L98" t="s">
        <v>150</v>
      </c>
      <c r="M98">
        <v>0.57999999999999996</v>
      </c>
      <c r="N98" t="s">
        <v>2079</v>
      </c>
      <c r="O98" t="s">
        <v>150</v>
      </c>
      <c r="P98">
        <v>37938</v>
      </c>
      <c r="Q98">
        <v>4.32</v>
      </c>
      <c r="R98">
        <v>0.21</v>
      </c>
      <c r="S98" t="b">
        <v>1</v>
      </c>
      <c r="T98">
        <v>3</v>
      </c>
      <c r="U98">
        <v>5</v>
      </c>
      <c r="V98" t="s">
        <v>1381</v>
      </c>
    </row>
    <row r="99" spans="1:22" x14ac:dyDescent="0.25">
      <c r="A99" t="s">
        <v>2078</v>
      </c>
      <c r="B99">
        <v>2011</v>
      </c>
      <c r="C99" t="s">
        <v>58</v>
      </c>
      <c r="D99" t="s">
        <v>57</v>
      </c>
      <c r="E99" t="s">
        <v>86</v>
      </c>
      <c r="F99" t="s">
        <v>41</v>
      </c>
      <c r="G99" t="s">
        <v>135</v>
      </c>
      <c r="H99" t="s">
        <v>61</v>
      </c>
      <c r="I99" t="s">
        <v>68</v>
      </c>
      <c r="J99" t="s">
        <v>79</v>
      </c>
      <c r="K99">
        <v>0</v>
      </c>
      <c r="M99">
        <v>0.09</v>
      </c>
      <c r="N99" t="s">
        <v>2077</v>
      </c>
      <c r="P99">
        <v>73910</v>
      </c>
      <c r="Q99">
        <v>-2.58</v>
      </c>
      <c r="R99">
        <v>0.78</v>
      </c>
      <c r="S99" t="b">
        <v>0</v>
      </c>
      <c r="T99">
        <v>3</v>
      </c>
      <c r="U99">
        <v>1</v>
      </c>
      <c r="V99" t="s">
        <v>1381</v>
      </c>
    </row>
    <row r="100" spans="1:22" x14ac:dyDescent="0.25">
      <c r="A100" t="s">
        <v>2076</v>
      </c>
      <c r="B100">
        <v>2011</v>
      </c>
      <c r="C100" t="s">
        <v>81</v>
      </c>
      <c r="D100" t="s">
        <v>28</v>
      </c>
      <c r="E100" t="s">
        <v>130</v>
      </c>
      <c r="F100" t="s">
        <v>69</v>
      </c>
      <c r="G100" t="s">
        <v>62</v>
      </c>
      <c r="H100" t="s">
        <v>15</v>
      </c>
      <c r="I100" t="s">
        <v>74</v>
      </c>
      <c r="J100" t="s">
        <v>2</v>
      </c>
      <c r="K100">
        <v>0</v>
      </c>
      <c r="M100">
        <v>0.02</v>
      </c>
      <c r="N100" t="s">
        <v>2075</v>
      </c>
      <c r="P100">
        <v>32359</v>
      </c>
      <c r="Q100">
        <v>4.4000000000000004</v>
      </c>
      <c r="R100">
        <v>0.87</v>
      </c>
      <c r="S100" t="b">
        <v>0</v>
      </c>
      <c r="T100">
        <v>3</v>
      </c>
      <c r="U100">
        <v>4</v>
      </c>
      <c r="V100" t="s">
        <v>1381</v>
      </c>
    </row>
    <row r="101" spans="1:22" x14ac:dyDescent="0.25">
      <c r="A101" t="s">
        <v>2074</v>
      </c>
      <c r="B101">
        <v>2011</v>
      </c>
      <c r="C101" t="s">
        <v>58</v>
      </c>
      <c r="D101" t="s">
        <v>57</v>
      </c>
      <c r="E101" t="s">
        <v>121</v>
      </c>
      <c r="F101" t="s">
        <v>108</v>
      </c>
      <c r="G101" t="s">
        <v>62</v>
      </c>
      <c r="H101" t="s">
        <v>15</v>
      </c>
      <c r="I101" t="s">
        <v>107</v>
      </c>
      <c r="J101" t="s">
        <v>13</v>
      </c>
      <c r="K101">
        <v>0</v>
      </c>
      <c r="M101">
        <v>0.13</v>
      </c>
      <c r="N101" t="s">
        <v>1029</v>
      </c>
      <c r="P101">
        <v>70884</v>
      </c>
      <c r="Q101">
        <v>-4.9400000000000004</v>
      </c>
      <c r="R101">
        <v>0.85</v>
      </c>
      <c r="S101" t="b">
        <v>0</v>
      </c>
      <c r="T101">
        <v>1</v>
      </c>
      <c r="U101">
        <v>13</v>
      </c>
      <c r="V101" t="s">
        <v>1381</v>
      </c>
    </row>
    <row r="102" spans="1:22" x14ac:dyDescent="0.25">
      <c r="A102" t="s">
        <v>2073</v>
      </c>
      <c r="B102">
        <v>2011</v>
      </c>
      <c r="C102" t="s">
        <v>51</v>
      </c>
      <c r="D102" t="s">
        <v>18</v>
      </c>
      <c r="E102" t="s">
        <v>86</v>
      </c>
      <c r="F102" t="s">
        <v>55</v>
      </c>
      <c r="G102" t="s">
        <v>16</v>
      </c>
      <c r="H102" t="s">
        <v>15</v>
      </c>
      <c r="I102" t="s">
        <v>74</v>
      </c>
      <c r="J102" t="s">
        <v>13</v>
      </c>
      <c r="K102">
        <v>0</v>
      </c>
      <c r="M102">
        <v>0.05</v>
      </c>
      <c r="N102" t="s">
        <v>2072</v>
      </c>
      <c r="P102">
        <v>58385</v>
      </c>
      <c r="Q102">
        <v>1.1399999999999999</v>
      </c>
      <c r="R102">
        <v>0.74</v>
      </c>
      <c r="S102" t="b">
        <v>0</v>
      </c>
      <c r="T102">
        <v>2</v>
      </c>
      <c r="U102">
        <v>8</v>
      </c>
      <c r="V102" t="s">
        <v>1381</v>
      </c>
    </row>
    <row r="103" spans="1:22" x14ac:dyDescent="0.25">
      <c r="A103" t="s">
        <v>2071</v>
      </c>
      <c r="B103">
        <v>2011</v>
      </c>
      <c r="C103" t="s">
        <v>148</v>
      </c>
      <c r="D103" t="s">
        <v>28</v>
      </c>
      <c r="E103" t="s">
        <v>86</v>
      </c>
      <c r="F103" t="s">
        <v>115</v>
      </c>
      <c r="G103" t="s">
        <v>135</v>
      </c>
      <c r="H103" t="s">
        <v>34</v>
      </c>
      <c r="I103" t="s">
        <v>97</v>
      </c>
      <c r="J103" t="s">
        <v>13</v>
      </c>
      <c r="K103">
        <v>0</v>
      </c>
      <c r="M103">
        <v>0.13</v>
      </c>
      <c r="N103" t="s">
        <v>1352</v>
      </c>
      <c r="P103">
        <v>32783</v>
      </c>
      <c r="Q103">
        <v>-2.83</v>
      </c>
      <c r="R103">
        <v>0.72</v>
      </c>
      <c r="S103" t="b">
        <v>0</v>
      </c>
      <c r="T103">
        <v>2</v>
      </c>
      <c r="U103">
        <v>12</v>
      </c>
      <c r="V103" t="s">
        <v>1381</v>
      </c>
    </row>
    <row r="104" spans="1:22" x14ac:dyDescent="0.25">
      <c r="A104" t="s">
        <v>2070</v>
      </c>
      <c r="B104">
        <v>2011</v>
      </c>
      <c r="C104" t="s">
        <v>51</v>
      </c>
      <c r="D104" t="s">
        <v>18</v>
      </c>
      <c r="E104" t="s">
        <v>121</v>
      </c>
      <c r="F104" t="s">
        <v>26</v>
      </c>
      <c r="G104" t="s">
        <v>16</v>
      </c>
      <c r="H104" t="s">
        <v>34</v>
      </c>
      <c r="I104" t="s">
        <v>74</v>
      </c>
      <c r="J104" t="s">
        <v>96</v>
      </c>
      <c r="K104">
        <v>0</v>
      </c>
      <c r="M104">
        <v>0.04</v>
      </c>
      <c r="N104" t="s">
        <v>2069</v>
      </c>
      <c r="P104">
        <v>54790</v>
      </c>
      <c r="Q104">
        <v>3.85</v>
      </c>
      <c r="R104">
        <v>0.63</v>
      </c>
      <c r="S104" t="b">
        <v>0</v>
      </c>
      <c r="T104">
        <v>2</v>
      </c>
      <c r="U104">
        <v>10</v>
      </c>
      <c r="V104" t="s">
        <v>1381</v>
      </c>
    </row>
    <row r="105" spans="1:22" x14ac:dyDescent="0.25">
      <c r="A105" t="s">
        <v>2068</v>
      </c>
      <c r="B105">
        <v>2011</v>
      </c>
      <c r="C105" t="s">
        <v>348</v>
      </c>
      <c r="D105" t="s">
        <v>64</v>
      </c>
      <c r="E105" t="s">
        <v>17</v>
      </c>
      <c r="F105" t="s">
        <v>136</v>
      </c>
      <c r="G105" t="s">
        <v>62</v>
      </c>
      <c r="H105" t="s">
        <v>141</v>
      </c>
      <c r="I105" t="s">
        <v>90</v>
      </c>
      <c r="J105" t="s">
        <v>2</v>
      </c>
      <c r="K105">
        <v>0</v>
      </c>
      <c r="M105">
        <v>0.12</v>
      </c>
      <c r="N105" t="s">
        <v>2067</v>
      </c>
      <c r="P105">
        <v>62687</v>
      </c>
      <c r="Q105">
        <v>-2.11</v>
      </c>
      <c r="R105">
        <v>0.77</v>
      </c>
      <c r="S105" t="b">
        <v>0</v>
      </c>
      <c r="T105">
        <v>3</v>
      </c>
      <c r="U105">
        <v>19</v>
      </c>
      <c r="V105" t="s">
        <v>1381</v>
      </c>
    </row>
    <row r="106" spans="1:22" x14ac:dyDescent="0.25">
      <c r="A106" t="s">
        <v>2066</v>
      </c>
      <c r="B106">
        <v>2011</v>
      </c>
      <c r="C106" t="s">
        <v>167</v>
      </c>
      <c r="D106" t="s">
        <v>43</v>
      </c>
      <c r="E106" t="s">
        <v>42</v>
      </c>
      <c r="F106" t="s">
        <v>103</v>
      </c>
      <c r="G106" t="s">
        <v>25</v>
      </c>
      <c r="H106" t="s">
        <v>49</v>
      </c>
      <c r="I106" t="s">
        <v>68</v>
      </c>
      <c r="J106" t="s">
        <v>23</v>
      </c>
      <c r="K106">
        <v>0</v>
      </c>
      <c r="M106">
        <v>0.09</v>
      </c>
      <c r="N106" t="s">
        <v>2065</v>
      </c>
      <c r="P106">
        <v>65934</v>
      </c>
      <c r="Q106">
        <v>1.62</v>
      </c>
      <c r="R106">
        <v>0.88</v>
      </c>
      <c r="S106" t="b">
        <v>0</v>
      </c>
      <c r="T106">
        <v>2</v>
      </c>
      <c r="U106">
        <v>10</v>
      </c>
      <c r="V106" t="s">
        <v>1381</v>
      </c>
    </row>
    <row r="107" spans="1:22" x14ac:dyDescent="0.25">
      <c r="A107" t="s">
        <v>2064</v>
      </c>
      <c r="B107">
        <v>2011</v>
      </c>
      <c r="C107" t="s">
        <v>220</v>
      </c>
      <c r="D107" t="s">
        <v>91</v>
      </c>
      <c r="E107" t="s">
        <v>219</v>
      </c>
      <c r="F107" t="s">
        <v>35</v>
      </c>
      <c r="G107" t="s">
        <v>16</v>
      </c>
      <c r="H107" t="s">
        <v>49</v>
      </c>
      <c r="I107" t="s">
        <v>97</v>
      </c>
      <c r="J107" t="s">
        <v>96</v>
      </c>
      <c r="K107">
        <v>0</v>
      </c>
      <c r="M107">
        <v>0.14000000000000001</v>
      </c>
      <c r="N107" t="s">
        <v>2063</v>
      </c>
      <c r="P107">
        <v>54273</v>
      </c>
      <c r="Q107">
        <v>-4.41</v>
      </c>
      <c r="R107">
        <v>0.81</v>
      </c>
      <c r="S107" t="b">
        <v>0</v>
      </c>
      <c r="T107">
        <v>2</v>
      </c>
      <c r="U107">
        <v>2</v>
      </c>
      <c r="V107" t="s">
        <v>1381</v>
      </c>
    </row>
    <row r="108" spans="1:22" x14ac:dyDescent="0.25">
      <c r="A108" t="s">
        <v>2062</v>
      </c>
      <c r="B108">
        <v>2011</v>
      </c>
      <c r="C108" t="s">
        <v>92</v>
      </c>
      <c r="D108" t="s">
        <v>91</v>
      </c>
      <c r="E108" t="s">
        <v>130</v>
      </c>
      <c r="F108" t="s">
        <v>80</v>
      </c>
      <c r="G108" t="s">
        <v>62</v>
      </c>
      <c r="H108" t="s">
        <v>61</v>
      </c>
      <c r="I108" t="s">
        <v>74</v>
      </c>
      <c r="J108" t="s">
        <v>2</v>
      </c>
      <c r="K108">
        <v>0</v>
      </c>
      <c r="M108">
        <v>7.0000000000000007E-2</v>
      </c>
      <c r="N108" t="s">
        <v>2061</v>
      </c>
      <c r="P108">
        <v>53851</v>
      </c>
      <c r="Q108">
        <v>-1.61</v>
      </c>
      <c r="R108">
        <v>0.64</v>
      </c>
      <c r="S108" t="b">
        <v>0</v>
      </c>
      <c r="T108">
        <v>3</v>
      </c>
      <c r="U108">
        <v>2</v>
      </c>
      <c r="V108" t="s">
        <v>1381</v>
      </c>
    </row>
    <row r="109" spans="1:22" x14ac:dyDescent="0.25">
      <c r="A109" t="s">
        <v>2060</v>
      </c>
      <c r="B109">
        <v>2011</v>
      </c>
      <c r="C109" t="s">
        <v>287</v>
      </c>
      <c r="D109" t="s">
        <v>43</v>
      </c>
      <c r="E109" t="s">
        <v>17</v>
      </c>
      <c r="F109" t="s">
        <v>55</v>
      </c>
      <c r="G109" t="s">
        <v>62</v>
      </c>
      <c r="H109" t="s">
        <v>141</v>
      </c>
      <c r="I109" t="s">
        <v>33</v>
      </c>
      <c r="J109" t="s">
        <v>13</v>
      </c>
      <c r="K109">
        <v>0</v>
      </c>
      <c r="M109">
        <v>0.06</v>
      </c>
      <c r="N109" t="s">
        <v>2059</v>
      </c>
      <c r="P109">
        <v>53318</v>
      </c>
      <c r="Q109">
        <v>1.29</v>
      </c>
      <c r="R109">
        <v>0.69</v>
      </c>
      <c r="S109" t="b">
        <v>0</v>
      </c>
      <c r="T109">
        <v>1</v>
      </c>
      <c r="U109">
        <v>19</v>
      </c>
      <c r="V109" t="s">
        <v>1381</v>
      </c>
    </row>
    <row r="110" spans="1:22" x14ac:dyDescent="0.25">
      <c r="A110" t="s">
        <v>2058</v>
      </c>
      <c r="B110">
        <v>2011</v>
      </c>
      <c r="C110" t="s">
        <v>81</v>
      </c>
      <c r="D110" t="s">
        <v>28</v>
      </c>
      <c r="E110" t="s">
        <v>27</v>
      </c>
      <c r="F110" t="s">
        <v>124</v>
      </c>
      <c r="G110" t="s">
        <v>62</v>
      </c>
      <c r="H110" t="s">
        <v>15</v>
      </c>
      <c r="I110" t="s">
        <v>40</v>
      </c>
      <c r="J110" t="s">
        <v>23</v>
      </c>
      <c r="K110">
        <v>0</v>
      </c>
      <c r="M110">
        <v>0.17</v>
      </c>
      <c r="N110" t="s">
        <v>2057</v>
      </c>
      <c r="P110">
        <v>34403</v>
      </c>
      <c r="Q110">
        <v>-2.13</v>
      </c>
      <c r="R110">
        <v>0.81</v>
      </c>
      <c r="S110" t="b">
        <v>0</v>
      </c>
      <c r="T110">
        <v>1</v>
      </c>
      <c r="U110">
        <v>9</v>
      </c>
      <c r="V110" t="s">
        <v>1381</v>
      </c>
    </row>
    <row r="111" spans="1:22" x14ac:dyDescent="0.25">
      <c r="A111" t="s">
        <v>2056</v>
      </c>
      <c r="B111">
        <v>2011</v>
      </c>
      <c r="C111" t="s">
        <v>304</v>
      </c>
      <c r="D111" t="s">
        <v>131</v>
      </c>
      <c r="E111" t="s">
        <v>121</v>
      </c>
      <c r="F111" t="s">
        <v>112</v>
      </c>
      <c r="G111" t="s">
        <v>25</v>
      </c>
      <c r="H111" t="s">
        <v>49</v>
      </c>
      <c r="I111" t="s">
        <v>33</v>
      </c>
      <c r="J111" t="s">
        <v>96</v>
      </c>
      <c r="K111">
        <v>0</v>
      </c>
      <c r="M111">
        <v>0.02</v>
      </c>
      <c r="N111" t="s">
        <v>2055</v>
      </c>
      <c r="P111">
        <v>30203</v>
      </c>
      <c r="Q111">
        <v>-0.22</v>
      </c>
      <c r="R111">
        <v>0.69</v>
      </c>
      <c r="S111" t="b">
        <v>0</v>
      </c>
      <c r="T111">
        <v>1</v>
      </c>
      <c r="U111">
        <v>9</v>
      </c>
      <c r="V111" t="s">
        <v>1381</v>
      </c>
    </row>
    <row r="112" spans="1:22" x14ac:dyDescent="0.25">
      <c r="A112" t="s">
        <v>2054</v>
      </c>
      <c r="B112">
        <v>2011</v>
      </c>
      <c r="C112" t="s">
        <v>413</v>
      </c>
      <c r="D112" t="s">
        <v>8</v>
      </c>
      <c r="E112" t="s">
        <v>86</v>
      </c>
      <c r="F112" t="s">
        <v>41</v>
      </c>
      <c r="G112" t="s">
        <v>62</v>
      </c>
      <c r="H112" t="s">
        <v>102</v>
      </c>
      <c r="I112" t="s">
        <v>68</v>
      </c>
      <c r="J112" t="s">
        <v>13</v>
      </c>
      <c r="K112">
        <v>0</v>
      </c>
      <c r="M112">
        <v>0.2</v>
      </c>
      <c r="N112" t="s">
        <v>2053</v>
      </c>
      <c r="P112">
        <v>23545</v>
      </c>
      <c r="Q112">
        <v>3.42</v>
      </c>
      <c r="R112">
        <v>0.73</v>
      </c>
      <c r="S112" t="b">
        <v>0</v>
      </c>
      <c r="T112">
        <v>3</v>
      </c>
      <c r="U112">
        <v>5</v>
      </c>
      <c r="V112" t="s">
        <v>1381</v>
      </c>
    </row>
    <row r="113" spans="1:22" x14ac:dyDescent="0.25">
      <c r="A113" t="s">
        <v>2052</v>
      </c>
      <c r="B113">
        <v>2011</v>
      </c>
      <c r="C113" t="s">
        <v>58</v>
      </c>
      <c r="D113" t="s">
        <v>57</v>
      </c>
      <c r="E113" t="s">
        <v>50</v>
      </c>
      <c r="F113" t="s">
        <v>112</v>
      </c>
      <c r="G113" t="s">
        <v>62</v>
      </c>
      <c r="H113" t="s">
        <v>34</v>
      </c>
      <c r="I113" t="s">
        <v>74</v>
      </c>
      <c r="J113" t="s">
        <v>13</v>
      </c>
      <c r="K113">
        <v>0</v>
      </c>
      <c r="M113">
        <v>0.09</v>
      </c>
      <c r="N113" t="s">
        <v>2051</v>
      </c>
      <c r="P113">
        <v>70716</v>
      </c>
      <c r="Q113">
        <v>-2.85</v>
      </c>
      <c r="R113">
        <v>0.74</v>
      </c>
      <c r="S113" t="b">
        <v>0</v>
      </c>
      <c r="T113">
        <v>1</v>
      </c>
      <c r="U113">
        <v>12</v>
      </c>
      <c r="V113" t="s">
        <v>1381</v>
      </c>
    </row>
    <row r="114" spans="1:22" x14ac:dyDescent="0.25">
      <c r="A114" t="s">
        <v>2050</v>
      </c>
      <c r="B114">
        <v>2011</v>
      </c>
      <c r="C114" t="s">
        <v>98</v>
      </c>
      <c r="D114" t="s">
        <v>43</v>
      </c>
      <c r="E114" t="s">
        <v>86</v>
      </c>
      <c r="F114" t="s">
        <v>75</v>
      </c>
      <c r="G114" t="s">
        <v>62</v>
      </c>
      <c r="H114" t="s">
        <v>141</v>
      </c>
      <c r="I114" t="s">
        <v>33</v>
      </c>
      <c r="J114" t="s">
        <v>13</v>
      </c>
      <c r="K114">
        <v>0</v>
      </c>
      <c r="M114">
        <v>0.13</v>
      </c>
      <c r="N114" t="s">
        <v>2049</v>
      </c>
      <c r="P114">
        <v>68203</v>
      </c>
      <c r="Q114">
        <v>1.36</v>
      </c>
      <c r="R114">
        <v>0.85</v>
      </c>
      <c r="S114" t="b">
        <v>0</v>
      </c>
      <c r="T114">
        <v>3</v>
      </c>
      <c r="U114">
        <v>5</v>
      </c>
      <c r="V114" t="s">
        <v>1381</v>
      </c>
    </row>
    <row r="115" spans="1:22" x14ac:dyDescent="0.25">
      <c r="A115" t="s">
        <v>2048</v>
      </c>
      <c r="B115">
        <v>2011</v>
      </c>
      <c r="C115" t="s">
        <v>358</v>
      </c>
      <c r="D115" t="s">
        <v>131</v>
      </c>
      <c r="E115" t="s">
        <v>36</v>
      </c>
      <c r="F115" t="s">
        <v>108</v>
      </c>
      <c r="G115" t="s">
        <v>5</v>
      </c>
      <c r="H115" t="s">
        <v>141</v>
      </c>
      <c r="I115" t="s">
        <v>24</v>
      </c>
      <c r="J115" t="s">
        <v>2</v>
      </c>
      <c r="K115">
        <v>0</v>
      </c>
      <c r="M115">
        <v>0.08</v>
      </c>
      <c r="N115" t="s">
        <v>2047</v>
      </c>
      <c r="P115">
        <v>28708</v>
      </c>
      <c r="Q115">
        <v>1.52</v>
      </c>
      <c r="R115">
        <v>0.76</v>
      </c>
      <c r="S115" t="b">
        <v>0</v>
      </c>
      <c r="T115">
        <v>1</v>
      </c>
      <c r="U115">
        <v>16</v>
      </c>
      <c r="V115" t="s">
        <v>1381</v>
      </c>
    </row>
    <row r="116" spans="1:22" x14ac:dyDescent="0.25">
      <c r="A116" t="s">
        <v>2046</v>
      </c>
      <c r="B116">
        <v>2011</v>
      </c>
      <c r="C116" t="s">
        <v>304</v>
      </c>
      <c r="D116" t="s">
        <v>131</v>
      </c>
      <c r="E116" t="s">
        <v>130</v>
      </c>
      <c r="F116" t="s">
        <v>115</v>
      </c>
      <c r="G116" t="s">
        <v>16</v>
      </c>
      <c r="H116" t="s">
        <v>61</v>
      </c>
      <c r="I116" t="s">
        <v>107</v>
      </c>
      <c r="J116" t="s">
        <v>73</v>
      </c>
      <c r="K116">
        <v>0</v>
      </c>
      <c r="M116">
        <v>0.1</v>
      </c>
      <c r="N116" t="s">
        <v>2045</v>
      </c>
      <c r="P116">
        <v>34942</v>
      </c>
      <c r="Q116">
        <v>4.9400000000000004</v>
      </c>
      <c r="R116">
        <v>0.78</v>
      </c>
      <c r="S116" t="b">
        <v>0</v>
      </c>
      <c r="T116">
        <v>1</v>
      </c>
      <c r="U116">
        <v>16</v>
      </c>
      <c r="V116" t="s">
        <v>1381</v>
      </c>
    </row>
    <row r="117" spans="1:22" x14ac:dyDescent="0.25">
      <c r="A117" t="s">
        <v>2044</v>
      </c>
      <c r="B117">
        <v>2012</v>
      </c>
      <c r="C117" t="s">
        <v>98</v>
      </c>
      <c r="D117" t="s">
        <v>43</v>
      </c>
      <c r="E117" t="s">
        <v>42</v>
      </c>
      <c r="F117" t="s">
        <v>69</v>
      </c>
      <c r="G117" t="s">
        <v>62</v>
      </c>
      <c r="H117" t="s">
        <v>34</v>
      </c>
      <c r="I117" t="s">
        <v>33</v>
      </c>
      <c r="J117" t="s">
        <v>2</v>
      </c>
      <c r="K117">
        <v>0</v>
      </c>
      <c r="M117">
        <v>0.09</v>
      </c>
      <c r="N117" t="s">
        <v>2043</v>
      </c>
      <c r="P117">
        <v>64424</v>
      </c>
      <c r="Q117">
        <v>-1.97</v>
      </c>
      <c r="R117">
        <v>0.9</v>
      </c>
      <c r="S117" t="b">
        <v>0</v>
      </c>
      <c r="T117">
        <v>3</v>
      </c>
      <c r="U117">
        <v>6</v>
      </c>
      <c r="V117" t="s">
        <v>1381</v>
      </c>
    </row>
    <row r="118" spans="1:22" x14ac:dyDescent="0.25">
      <c r="A118" t="s">
        <v>2042</v>
      </c>
      <c r="B118">
        <v>2012</v>
      </c>
      <c r="C118" t="s">
        <v>86</v>
      </c>
      <c r="D118" t="s">
        <v>131</v>
      </c>
      <c r="E118" t="s">
        <v>147</v>
      </c>
      <c r="F118" t="s">
        <v>103</v>
      </c>
      <c r="G118" t="s">
        <v>5</v>
      </c>
      <c r="H118" t="s">
        <v>61</v>
      </c>
      <c r="I118" t="s">
        <v>14</v>
      </c>
      <c r="J118" t="s">
        <v>79</v>
      </c>
      <c r="K118">
        <v>1</v>
      </c>
      <c r="L118" t="s">
        <v>346</v>
      </c>
      <c r="M118">
        <v>0.48</v>
      </c>
      <c r="N118" t="s">
        <v>2041</v>
      </c>
      <c r="O118" t="s">
        <v>346</v>
      </c>
      <c r="P118">
        <v>45359</v>
      </c>
      <c r="Q118">
        <v>-1.96</v>
      </c>
      <c r="R118">
        <v>0.4</v>
      </c>
      <c r="S118" t="b">
        <v>1</v>
      </c>
      <c r="T118">
        <v>1</v>
      </c>
      <c r="U118">
        <v>19</v>
      </c>
      <c r="V118" t="s">
        <v>1381</v>
      </c>
    </row>
    <row r="119" spans="1:22" x14ac:dyDescent="0.25">
      <c r="A119" t="s">
        <v>2040</v>
      </c>
      <c r="B119">
        <v>2012</v>
      </c>
      <c r="C119" t="s">
        <v>58</v>
      </c>
      <c r="D119" t="s">
        <v>57</v>
      </c>
      <c r="E119" t="s">
        <v>17</v>
      </c>
      <c r="F119" t="s">
        <v>41</v>
      </c>
      <c r="G119" t="s">
        <v>5</v>
      </c>
      <c r="H119" t="s">
        <v>15</v>
      </c>
      <c r="I119" t="s">
        <v>24</v>
      </c>
      <c r="J119" t="s">
        <v>13</v>
      </c>
      <c r="K119">
        <v>0</v>
      </c>
      <c r="M119">
        <v>0.1</v>
      </c>
      <c r="N119" t="s">
        <v>2039</v>
      </c>
      <c r="P119">
        <v>60819</v>
      </c>
      <c r="Q119">
        <v>0.04</v>
      </c>
      <c r="R119">
        <v>0.88</v>
      </c>
      <c r="S119" t="b">
        <v>0</v>
      </c>
      <c r="T119">
        <v>1</v>
      </c>
      <c r="U119">
        <v>2</v>
      </c>
      <c r="V119" t="s">
        <v>1381</v>
      </c>
    </row>
    <row r="120" spans="1:22" x14ac:dyDescent="0.25">
      <c r="A120" t="s">
        <v>2038</v>
      </c>
      <c r="B120">
        <v>2012</v>
      </c>
      <c r="C120" t="s">
        <v>167</v>
      </c>
      <c r="D120" t="s">
        <v>43</v>
      </c>
      <c r="E120" t="s">
        <v>42</v>
      </c>
      <c r="F120" t="s">
        <v>108</v>
      </c>
      <c r="G120" t="s">
        <v>16</v>
      </c>
      <c r="H120" t="s">
        <v>85</v>
      </c>
      <c r="I120" t="s">
        <v>74</v>
      </c>
      <c r="J120" t="s">
        <v>2</v>
      </c>
      <c r="K120">
        <v>0</v>
      </c>
      <c r="M120">
        <v>0.11</v>
      </c>
      <c r="N120" t="s">
        <v>2037</v>
      </c>
      <c r="P120">
        <v>68153</v>
      </c>
      <c r="Q120">
        <v>0.27</v>
      </c>
      <c r="R120">
        <v>0.8</v>
      </c>
      <c r="S120" t="b">
        <v>0</v>
      </c>
      <c r="T120">
        <v>2</v>
      </c>
      <c r="U120">
        <v>11</v>
      </c>
      <c r="V120" t="s">
        <v>1381</v>
      </c>
    </row>
    <row r="121" spans="1:22" x14ac:dyDescent="0.25">
      <c r="A121" t="s">
        <v>2036</v>
      </c>
      <c r="B121">
        <v>2012</v>
      </c>
      <c r="C121" t="s">
        <v>245</v>
      </c>
      <c r="D121" t="s">
        <v>125</v>
      </c>
      <c r="E121" t="s">
        <v>50</v>
      </c>
      <c r="F121" t="s">
        <v>69</v>
      </c>
      <c r="G121" t="s">
        <v>135</v>
      </c>
      <c r="H121" t="s">
        <v>179</v>
      </c>
      <c r="I121" t="s">
        <v>40</v>
      </c>
      <c r="J121" t="s">
        <v>96</v>
      </c>
      <c r="K121">
        <v>0</v>
      </c>
      <c r="M121">
        <v>0.19</v>
      </c>
      <c r="N121" t="s">
        <v>2035</v>
      </c>
      <c r="P121">
        <v>21021</v>
      </c>
      <c r="Q121">
        <v>1.5</v>
      </c>
      <c r="R121">
        <v>0.84</v>
      </c>
      <c r="S121" t="b">
        <v>0</v>
      </c>
      <c r="T121">
        <v>1</v>
      </c>
      <c r="U121">
        <v>8</v>
      </c>
      <c r="V121" t="s">
        <v>1381</v>
      </c>
    </row>
    <row r="122" spans="1:22" x14ac:dyDescent="0.25">
      <c r="A122" t="s">
        <v>2034</v>
      </c>
      <c r="B122">
        <v>2012</v>
      </c>
      <c r="C122" t="s">
        <v>378</v>
      </c>
      <c r="D122" t="s">
        <v>43</v>
      </c>
      <c r="E122" t="s">
        <v>182</v>
      </c>
      <c r="F122" t="s">
        <v>6</v>
      </c>
      <c r="G122" t="s">
        <v>62</v>
      </c>
      <c r="H122" t="s">
        <v>179</v>
      </c>
      <c r="I122" t="s">
        <v>14</v>
      </c>
      <c r="J122" t="s">
        <v>2</v>
      </c>
      <c r="K122">
        <v>0</v>
      </c>
      <c r="M122">
        <v>0.11</v>
      </c>
      <c r="N122" t="s">
        <v>1704</v>
      </c>
      <c r="P122">
        <v>59600</v>
      </c>
      <c r="Q122">
        <v>-2</v>
      </c>
      <c r="R122">
        <v>0.65</v>
      </c>
      <c r="S122" t="b">
        <v>0</v>
      </c>
      <c r="T122">
        <v>2</v>
      </c>
      <c r="U122">
        <v>0</v>
      </c>
      <c r="V122" t="s">
        <v>1381</v>
      </c>
    </row>
    <row r="123" spans="1:22" x14ac:dyDescent="0.25">
      <c r="A123" t="s">
        <v>2033</v>
      </c>
      <c r="B123">
        <v>2012</v>
      </c>
      <c r="C123" t="s">
        <v>86</v>
      </c>
      <c r="D123" t="s">
        <v>131</v>
      </c>
      <c r="E123" t="s">
        <v>7</v>
      </c>
      <c r="F123" t="s">
        <v>136</v>
      </c>
      <c r="G123" t="s">
        <v>25</v>
      </c>
      <c r="H123" t="s">
        <v>61</v>
      </c>
      <c r="I123" t="s">
        <v>14</v>
      </c>
      <c r="J123" t="s">
        <v>13</v>
      </c>
      <c r="K123">
        <v>0</v>
      </c>
      <c r="M123">
        <v>0.05</v>
      </c>
      <c r="N123" t="s">
        <v>2032</v>
      </c>
      <c r="P123">
        <v>32595</v>
      </c>
      <c r="Q123">
        <v>-4.51</v>
      </c>
      <c r="R123">
        <v>0.68</v>
      </c>
      <c r="S123" t="b">
        <v>0</v>
      </c>
      <c r="T123">
        <v>3</v>
      </c>
      <c r="U123">
        <v>11</v>
      </c>
      <c r="V123" t="s">
        <v>1381</v>
      </c>
    </row>
    <row r="124" spans="1:22" x14ac:dyDescent="0.25">
      <c r="A124" t="s">
        <v>2031</v>
      </c>
      <c r="B124">
        <v>2012</v>
      </c>
      <c r="C124" t="s">
        <v>358</v>
      </c>
      <c r="D124" t="s">
        <v>131</v>
      </c>
      <c r="E124" t="s">
        <v>27</v>
      </c>
      <c r="F124" t="s">
        <v>156</v>
      </c>
      <c r="G124" t="s">
        <v>16</v>
      </c>
      <c r="H124" t="s">
        <v>179</v>
      </c>
      <c r="I124" t="s">
        <v>97</v>
      </c>
      <c r="J124" t="s">
        <v>96</v>
      </c>
      <c r="K124">
        <v>0</v>
      </c>
      <c r="M124">
        <v>0.09</v>
      </c>
      <c r="N124" t="s">
        <v>2030</v>
      </c>
      <c r="P124">
        <v>28632</v>
      </c>
      <c r="Q124">
        <v>0.74</v>
      </c>
      <c r="R124">
        <v>0.85</v>
      </c>
      <c r="S124" t="b">
        <v>0</v>
      </c>
      <c r="T124">
        <v>2</v>
      </c>
      <c r="U124">
        <v>4</v>
      </c>
      <c r="V124" t="s">
        <v>1381</v>
      </c>
    </row>
    <row r="125" spans="1:22" x14ac:dyDescent="0.25">
      <c r="A125" t="s">
        <v>2029</v>
      </c>
      <c r="B125">
        <v>2012</v>
      </c>
      <c r="C125" t="s">
        <v>311</v>
      </c>
      <c r="D125" t="s">
        <v>125</v>
      </c>
      <c r="E125" t="s">
        <v>50</v>
      </c>
      <c r="F125" t="s">
        <v>112</v>
      </c>
      <c r="G125" t="s">
        <v>62</v>
      </c>
      <c r="H125" t="s">
        <v>179</v>
      </c>
      <c r="I125" t="s">
        <v>97</v>
      </c>
      <c r="J125" t="s">
        <v>73</v>
      </c>
      <c r="K125">
        <v>0</v>
      </c>
      <c r="M125">
        <v>0.14000000000000001</v>
      </c>
      <c r="N125" t="s">
        <v>2028</v>
      </c>
      <c r="P125">
        <v>16493</v>
      </c>
      <c r="Q125">
        <v>-0.62</v>
      </c>
      <c r="R125">
        <v>0.73</v>
      </c>
      <c r="S125" t="b">
        <v>0</v>
      </c>
      <c r="T125">
        <v>1</v>
      </c>
      <c r="U125">
        <v>9</v>
      </c>
      <c r="V125" t="s">
        <v>1381</v>
      </c>
    </row>
    <row r="126" spans="1:22" x14ac:dyDescent="0.25">
      <c r="A126" t="s">
        <v>2027</v>
      </c>
      <c r="B126">
        <v>2012</v>
      </c>
      <c r="C126" t="s">
        <v>348</v>
      </c>
      <c r="D126" t="s">
        <v>64</v>
      </c>
      <c r="E126" t="s">
        <v>56</v>
      </c>
      <c r="F126" t="s">
        <v>63</v>
      </c>
      <c r="G126" t="s">
        <v>25</v>
      </c>
      <c r="H126" t="s">
        <v>49</v>
      </c>
      <c r="I126" t="s">
        <v>40</v>
      </c>
      <c r="J126" t="s">
        <v>79</v>
      </c>
      <c r="K126">
        <v>0</v>
      </c>
      <c r="M126">
        <v>0.17</v>
      </c>
      <c r="N126" t="s">
        <v>2026</v>
      </c>
      <c r="P126">
        <v>83438</v>
      </c>
      <c r="Q126">
        <v>-1.52</v>
      </c>
      <c r="R126">
        <v>0.89</v>
      </c>
      <c r="S126" t="b">
        <v>0</v>
      </c>
      <c r="T126">
        <v>3</v>
      </c>
      <c r="U126">
        <v>3</v>
      </c>
      <c r="V126" t="s">
        <v>1381</v>
      </c>
    </row>
    <row r="127" spans="1:22" x14ac:dyDescent="0.25">
      <c r="A127" t="s">
        <v>2025</v>
      </c>
      <c r="B127">
        <v>2012</v>
      </c>
      <c r="C127" t="s">
        <v>333</v>
      </c>
      <c r="D127" t="s">
        <v>28</v>
      </c>
      <c r="E127" t="s">
        <v>17</v>
      </c>
      <c r="F127" t="s">
        <v>35</v>
      </c>
      <c r="G127" t="s">
        <v>135</v>
      </c>
      <c r="H127" t="s">
        <v>61</v>
      </c>
      <c r="I127" t="s">
        <v>3</v>
      </c>
      <c r="J127" t="s">
        <v>13</v>
      </c>
      <c r="K127">
        <v>0</v>
      </c>
      <c r="M127">
        <v>0.05</v>
      </c>
      <c r="N127" t="s">
        <v>2024</v>
      </c>
      <c r="P127">
        <v>35049</v>
      </c>
      <c r="Q127">
        <v>4.55</v>
      </c>
      <c r="R127">
        <v>0.75</v>
      </c>
      <c r="S127" t="b">
        <v>0</v>
      </c>
      <c r="T127">
        <v>1</v>
      </c>
      <c r="U127">
        <v>18</v>
      </c>
      <c r="V127" t="s">
        <v>1381</v>
      </c>
    </row>
    <row r="128" spans="1:22" x14ac:dyDescent="0.25">
      <c r="A128" t="s">
        <v>2023</v>
      </c>
      <c r="B128">
        <v>2012</v>
      </c>
      <c r="C128" t="s">
        <v>157</v>
      </c>
      <c r="D128" t="s">
        <v>18</v>
      </c>
      <c r="E128" t="s">
        <v>50</v>
      </c>
      <c r="F128" t="s">
        <v>136</v>
      </c>
      <c r="G128" t="s">
        <v>25</v>
      </c>
      <c r="H128" t="s">
        <v>61</v>
      </c>
      <c r="I128" t="s">
        <v>90</v>
      </c>
      <c r="J128" t="s">
        <v>73</v>
      </c>
      <c r="K128">
        <v>0</v>
      </c>
      <c r="M128">
        <v>0.12</v>
      </c>
      <c r="N128" t="s">
        <v>2022</v>
      </c>
      <c r="P128">
        <v>60495</v>
      </c>
      <c r="Q128">
        <v>-2.73</v>
      </c>
      <c r="R128">
        <v>0.67</v>
      </c>
      <c r="S128" t="b">
        <v>0</v>
      </c>
      <c r="T128">
        <v>3</v>
      </c>
      <c r="U128">
        <v>6</v>
      </c>
      <c r="V128" t="s">
        <v>1381</v>
      </c>
    </row>
    <row r="129" spans="1:22" x14ac:dyDescent="0.25">
      <c r="A129" t="s">
        <v>2021</v>
      </c>
      <c r="B129">
        <v>2012</v>
      </c>
      <c r="C129" t="s">
        <v>183</v>
      </c>
      <c r="D129" t="s">
        <v>131</v>
      </c>
      <c r="E129" t="s">
        <v>7</v>
      </c>
      <c r="F129" t="s">
        <v>55</v>
      </c>
      <c r="G129" t="s">
        <v>25</v>
      </c>
      <c r="H129" t="s">
        <v>4</v>
      </c>
      <c r="I129" t="s">
        <v>40</v>
      </c>
      <c r="J129" t="s">
        <v>96</v>
      </c>
      <c r="K129">
        <v>0</v>
      </c>
      <c r="M129">
        <v>0.2</v>
      </c>
      <c r="N129" t="s">
        <v>2020</v>
      </c>
      <c r="P129">
        <v>34460</v>
      </c>
      <c r="Q129">
        <v>-0.35</v>
      </c>
      <c r="R129">
        <v>0.62</v>
      </c>
      <c r="S129" t="b">
        <v>0</v>
      </c>
      <c r="T129">
        <v>2</v>
      </c>
      <c r="U129">
        <v>17</v>
      </c>
      <c r="V129" t="s">
        <v>1381</v>
      </c>
    </row>
    <row r="130" spans="1:22" x14ac:dyDescent="0.25">
      <c r="A130" t="s">
        <v>2019</v>
      </c>
      <c r="B130">
        <v>2012</v>
      </c>
      <c r="C130" t="s">
        <v>215</v>
      </c>
      <c r="D130" t="s">
        <v>91</v>
      </c>
      <c r="E130" t="s">
        <v>42</v>
      </c>
      <c r="F130" t="s">
        <v>69</v>
      </c>
      <c r="G130" t="s">
        <v>62</v>
      </c>
      <c r="H130" t="s">
        <v>15</v>
      </c>
      <c r="I130" t="s">
        <v>24</v>
      </c>
      <c r="J130" t="s">
        <v>79</v>
      </c>
      <c r="K130">
        <v>0</v>
      </c>
      <c r="M130">
        <v>0.14000000000000001</v>
      </c>
      <c r="N130" t="s">
        <v>2018</v>
      </c>
      <c r="P130">
        <v>55664</v>
      </c>
      <c r="Q130">
        <v>2.7</v>
      </c>
      <c r="R130">
        <v>0.68</v>
      </c>
      <c r="S130" t="b">
        <v>0</v>
      </c>
      <c r="T130">
        <v>2</v>
      </c>
      <c r="U130">
        <v>2</v>
      </c>
      <c r="V130" t="s">
        <v>1381</v>
      </c>
    </row>
    <row r="131" spans="1:22" x14ac:dyDescent="0.25">
      <c r="A131" t="s">
        <v>2017</v>
      </c>
      <c r="B131">
        <v>2012</v>
      </c>
      <c r="C131" t="s">
        <v>65</v>
      </c>
      <c r="D131" t="s">
        <v>64</v>
      </c>
      <c r="E131" t="s">
        <v>42</v>
      </c>
      <c r="F131" t="s">
        <v>103</v>
      </c>
      <c r="G131" t="s">
        <v>16</v>
      </c>
      <c r="H131" t="s">
        <v>102</v>
      </c>
      <c r="I131" t="s">
        <v>68</v>
      </c>
      <c r="J131" t="s">
        <v>2</v>
      </c>
      <c r="K131">
        <v>0</v>
      </c>
      <c r="M131">
        <v>0.02</v>
      </c>
      <c r="N131" t="s">
        <v>2016</v>
      </c>
      <c r="P131">
        <v>77578</v>
      </c>
      <c r="Q131">
        <v>3.87</v>
      </c>
      <c r="R131">
        <v>0.72</v>
      </c>
      <c r="S131" t="b">
        <v>0</v>
      </c>
      <c r="T131">
        <v>3</v>
      </c>
      <c r="U131">
        <v>1</v>
      </c>
      <c r="V131" t="s">
        <v>1381</v>
      </c>
    </row>
    <row r="132" spans="1:22" x14ac:dyDescent="0.25">
      <c r="A132" t="s">
        <v>2015</v>
      </c>
      <c r="B132">
        <v>2012</v>
      </c>
      <c r="C132" t="s">
        <v>378</v>
      </c>
      <c r="D132" t="s">
        <v>43</v>
      </c>
      <c r="E132" t="s">
        <v>7</v>
      </c>
      <c r="F132" t="s">
        <v>35</v>
      </c>
      <c r="G132" t="s">
        <v>62</v>
      </c>
      <c r="H132" t="s">
        <v>85</v>
      </c>
      <c r="I132" t="s">
        <v>40</v>
      </c>
      <c r="J132" t="s">
        <v>96</v>
      </c>
      <c r="K132">
        <v>0</v>
      </c>
      <c r="M132">
        <v>0.11</v>
      </c>
      <c r="N132" t="s">
        <v>2014</v>
      </c>
      <c r="P132">
        <v>57721</v>
      </c>
      <c r="Q132">
        <v>4.87</v>
      </c>
      <c r="R132">
        <v>0.89</v>
      </c>
      <c r="S132" t="b">
        <v>0</v>
      </c>
      <c r="T132">
        <v>1</v>
      </c>
      <c r="U132">
        <v>15</v>
      </c>
      <c r="V132" t="s">
        <v>1381</v>
      </c>
    </row>
    <row r="133" spans="1:22" x14ac:dyDescent="0.25">
      <c r="A133" t="s">
        <v>2013</v>
      </c>
      <c r="B133">
        <v>2012</v>
      </c>
      <c r="C133" t="s">
        <v>58</v>
      </c>
      <c r="D133" t="s">
        <v>57</v>
      </c>
      <c r="E133" t="s">
        <v>42</v>
      </c>
      <c r="F133" t="s">
        <v>69</v>
      </c>
      <c r="G133" t="s">
        <v>5</v>
      </c>
      <c r="H133" t="s">
        <v>34</v>
      </c>
      <c r="I133" t="s">
        <v>68</v>
      </c>
      <c r="J133" t="s">
        <v>13</v>
      </c>
      <c r="K133">
        <v>0</v>
      </c>
      <c r="M133">
        <v>7.0000000000000007E-2</v>
      </c>
      <c r="N133" t="s">
        <v>2012</v>
      </c>
      <c r="P133">
        <v>62673</v>
      </c>
      <c r="Q133">
        <v>1.77</v>
      </c>
      <c r="R133">
        <v>0.7</v>
      </c>
      <c r="S133" t="b">
        <v>0</v>
      </c>
      <c r="T133">
        <v>1</v>
      </c>
      <c r="U133">
        <v>15</v>
      </c>
      <c r="V133" t="s">
        <v>1381</v>
      </c>
    </row>
    <row r="134" spans="1:22" x14ac:dyDescent="0.25">
      <c r="A134" t="s">
        <v>2011</v>
      </c>
      <c r="B134">
        <v>2012</v>
      </c>
      <c r="C134" t="s">
        <v>298</v>
      </c>
      <c r="D134" t="s">
        <v>125</v>
      </c>
      <c r="E134" t="s">
        <v>42</v>
      </c>
      <c r="F134" t="s">
        <v>69</v>
      </c>
      <c r="G134" t="s">
        <v>25</v>
      </c>
      <c r="H134" t="s">
        <v>49</v>
      </c>
      <c r="I134" t="s">
        <v>14</v>
      </c>
      <c r="J134" t="s">
        <v>73</v>
      </c>
      <c r="K134">
        <v>0</v>
      </c>
      <c r="M134">
        <v>0.01</v>
      </c>
      <c r="N134" t="s">
        <v>2010</v>
      </c>
      <c r="P134">
        <v>20803</v>
      </c>
      <c r="Q134">
        <v>-0.25</v>
      </c>
      <c r="R134">
        <v>0.66</v>
      </c>
      <c r="S134" t="b">
        <v>0</v>
      </c>
      <c r="T134">
        <v>3</v>
      </c>
      <c r="U134">
        <v>16</v>
      </c>
      <c r="V134" t="s">
        <v>1381</v>
      </c>
    </row>
    <row r="135" spans="1:22" x14ac:dyDescent="0.25">
      <c r="A135" t="s">
        <v>2009</v>
      </c>
      <c r="B135">
        <v>2012</v>
      </c>
      <c r="C135" t="s">
        <v>382</v>
      </c>
      <c r="D135" t="s">
        <v>125</v>
      </c>
      <c r="E135" t="s">
        <v>219</v>
      </c>
      <c r="F135" t="s">
        <v>35</v>
      </c>
      <c r="G135" t="s">
        <v>135</v>
      </c>
      <c r="H135" t="s">
        <v>15</v>
      </c>
      <c r="I135" t="s">
        <v>68</v>
      </c>
      <c r="J135" t="s">
        <v>23</v>
      </c>
      <c r="K135">
        <v>0</v>
      </c>
      <c r="M135">
        <v>0.03</v>
      </c>
      <c r="N135" t="s">
        <v>425</v>
      </c>
      <c r="P135">
        <v>19035</v>
      </c>
      <c r="Q135">
        <v>2.93</v>
      </c>
      <c r="R135">
        <v>0.88</v>
      </c>
      <c r="S135" t="b">
        <v>0</v>
      </c>
      <c r="T135">
        <v>2</v>
      </c>
      <c r="U135">
        <v>5</v>
      </c>
      <c r="V135" t="s">
        <v>1381</v>
      </c>
    </row>
    <row r="136" spans="1:22" x14ac:dyDescent="0.25">
      <c r="A136" t="s">
        <v>2008</v>
      </c>
      <c r="B136">
        <v>2012</v>
      </c>
      <c r="C136" t="s">
        <v>287</v>
      </c>
      <c r="D136" t="s">
        <v>43</v>
      </c>
      <c r="E136" t="s">
        <v>17</v>
      </c>
      <c r="F136" t="s">
        <v>35</v>
      </c>
      <c r="G136" t="s">
        <v>5</v>
      </c>
      <c r="H136" t="s">
        <v>179</v>
      </c>
      <c r="I136" t="s">
        <v>14</v>
      </c>
      <c r="J136" t="s">
        <v>23</v>
      </c>
      <c r="K136">
        <v>1</v>
      </c>
      <c r="L136" t="s">
        <v>2006</v>
      </c>
      <c r="M136">
        <v>0.52</v>
      </c>
      <c r="N136" t="s">
        <v>2007</v>
      </c>
      <c r="O136" t="s">
        <v>2006</v>
      </c>
      <c r="P136">
        <v>82570</v>
      </c>
      <c r="Q136">
        <v>-1.6</v>
      </c>
      <c r="R136">
        <v>0.21</v>
      </c>
      <c r="S136" t="b">
        <v>1</v>
      </c>
      <c r="T136">
        <v>1</v>
      </c>
      <c r="U136">
        <v>3</v>
      </c>
      <c r="V136" t="s">
        <v>1381</v>
      </c>
    </row>
    <row r="137" spans="1:22" x14ac:dyDescent="0.25">
      <c r="A137" t="s">
        <v>2005</v>
      </c>
      <c r="B137">
        <v>2012</v>
      </c>
      <c r="C137" t="s">
        <v>19</v>
      </c>
      <c r="D137" t="s">
        <v>18</v>
      </c>
      <c r="E137" t="s">
        <v>27</v>
      </c>
      <c r="F137" t="s">
        <v>115</v>
      </c>
      <c r="G137" t="s">
        <v>16</v>
      </c>
      <c r="H137" t="s">
        <v>49</v>
      </c>
      <c r="I137" t="s">
        <v>90</v>
      </c>
      <c r="J137" t="s">
        <v>73</v>
      </c>
      <c r="K137">
        <v>0</v>
      </c>
      <c r="M137">
        <v>0.06</v>
      </c>
      <c r="N137" t="s">
        <v>2004</v>
      </c>
      <c r="P137">
        <v>52749</v>
      </c>
      <c r="Q137">
        <v>2.68</v>
      </c>
      <c r="R137">
        <v>0.65</v>
      </c>
      <c r="S137" t="b">
        <v>0</v>
      </c>
      <c r="T137">
        <v>1</v>
      </c>
      <c r="U137">
        <v>10</v>
      </c>
      <c r="V137" t="s">
        <v>1381</v>
      </c>
    </row>
    <row r="138" spans="1:22" x14ac:dyDescent="0.25">
      <c r="A138" t="s">
        <v>2003</v>
      </c>
      <c r="B138">
        <v>2012</v>
      </c>
      <c r="C138" t="s">
        <v>333</v>
      </c>
      <c r="D138" t="s">
        <v>28</v>
      </c>
      <c r="E138" t="s">
        <v>116</v>
      </c>
      <c r="F138" t="s">
        <v>124</v>
      </c>
      <c r="G138" t="s">
        <v>16</v>
      </c>
      <c r="H138" t="s">
        <v>61</v>
      </c>
      <c r="I138" t="s">
        <v>3</v>
      </c>
      <c r="J138" t="s">
        <v>96</v>
      </c>
      <c r="K138">
        <v>0</v>
      </c>
      <c r="M138">
        <v>0.15</v>
      </c>
      <c r="N138" t="s">
        <v>2002</v>
      </c>
      <c r="P138">
        <v>42651</v>
      </c>
      <c r="Q138">
        <v>3.78</v>
      </c>
      <c r="R138">
        <v>0.66</v>
      </c>
      <c r="S138" t="b">
        <v>0</v>
      </c>
      <c r="T138">
        <v>3</v>
      </c>
      <c r="U138">
        <v>10</v>
      </c>
      <c r="V138" t="s">
        <v>1381</v>
      </c>
    </row>
    <row r="139" spans="1:22" x14ac:dyDescent="0.25">
      <c r="A139" t="s">
        <v>2001</v>
      </c>
      <c r="B139">
        <v>2012</v>
      </c>
      <c r="C139" t="s">
        <v>267</v>
      </c>
      <c r="D139" t="s">
        <v>43</v>
      </c>
      <c r="E139" t="s">
        <v>36</v>
      </c>
      <c r="F139" t="s">
        <v>103</v>
      </c>
      <c r="G139" t="s">
        <v>62</v>
      </c>
      <c r="H139" t="s">
        <v>141</v>
      </c>
      <c r="I139" t="s">
        <v>14</v>
      </c>
      <c r="J139" t="s">
        <v>2</v>
      </c>
      <c r="K139">
        <v>0</v>
      </c>
      <c r="M139">
        <v>0.13</v>
      </c>
      <c r="N139" t="s">
        <v>1947</v>
      </c>
      <c r="P139">
        <v>57176</v>
      </c>
      <c r="Q139">
        <v>-0.44</v>
      </c>
      <c r="R139">
        <v>0.88</v>
      </c>
      <c r="S139" t="b">
        <v>0</v>
      </c>
      <c r="T139">
        <v>3</v>
      </c>
      <c r="U139">
        <v>16</v>
      </c>
      <c r="V139" t="s">
        <v>1381</v>
      </c>
    </row>
    <row r="140" spans="1:22" x14ac:dyDescent="0.25">
      <c r="A140" t="s">
        <v>2000</v>
      </c>
      <c r="B140">
        <v>2012</v>
      </c>
      <c r="C140" t="s">
        <v>117</v>
      </c>
      <c r="D140" t="s">
        <v>91</v>
      </c>
      <c r="E140" t="s">
        <v>219</v>
      </c>
      <c r="F140" t="s">
        <v>41</v>
      </c>
      <c r="G140" t="s">
        <v>25</v>
      </c>
      <c r="H140" t="s">
        <v>85</v>
      </c>
      <c r="I140" t="s">
        <v>74</v>
      </c>
      <c r="J140" t="s">
        <v>13</v>
      </c>
      <c r="K140">
        <v>0</v>
      </c>
      <c r="M140">
        <v>0.02</v>
      </c>
      <c r="N140" t="s">
        <v>1999</v>
      </c>
      <c r="P140">
        <v>47899</v>
      </c>
      <c r="Q140">
        <v>2.72</v>
      </c>
      <c r="R140">
        <v>0.68</v>
      </c>
      <c r="S140" t="b">
        <v>0</v>
      </c>
      <c r="T140">
        <v>3</v>
      </c>
      <c r="U140">
        <v>4</v>
      </c>
      <c r="V140" t="s">
        <v>1381</v>
      </c>
    </row>
    <row r="141" spans="1:22" x14ac:dyDescent="0.25">
      <c r="A141" t="s">
        <v>1998</v>
      </c>
      <c r="B141">
        <v>2012</v>
      </c>
      <c r="C141" t="s">
        <v>287</v>
      </c>
      <c r="D141" t="s">
        <v>43</v>
      </c>
      <c r="E141" t="s">
        <v>130</v>
      </c>
      <c r="F141" t="s">
        <v>6</v>
      </c>
      <c r="G141" t="s">
        <v>16</v>
      </c>
      <c r="H141" t="s">
        <v>61</v>
      </c>
      <c r="I141" t="s">
        <v>68</v>
      </c>
      <c r="J141" t="s">
        <v>23</v>
      </c>
      <c r="K141">
        <v>0</v>
      </c>
      <c r="M141">
        <v>0.03</v>
      </c>
      <c r="N141" t="s">
        <v>1997</v>
      </c>
      <c r="P141">
        <v>62716</v>
      </c>
      <c r="Q141">
        <v>1.32</v>
      </c>
      <c r="R141">
        <v>0.71</v>
      </c>
      <c r="S141" t="b">
        <v>0</v>
      </c>
      <c r="T141">
        <v>1</v>
      </c>
      <c r="U141">
        <v>4</v>
      </c>
      <c r="V141" t="s">
        <v>1381</v>
      </c>
    </row>
    <row r="142" spans="1:22" x14ac:dyDescent="0.25">
      <c r="A142" t="s">
        <v>1996</v>
      </c>
      <c r="B142">
        <v>2012</v>
      </c>
      <c r="C142" t="s">
        <v>413</v>
      </c>
      <c r="D142" t="s">
        <v>8</v>
      </c>
      <c r="E142" t="s">
        <v>86</v>
      </c>
      <c r="F142" t="s">
        <v>108</v>
      </c>
      <c r="G142" t="s">
        <v>62</v>
      </c>
      <c r="H142" t="s">
        <v>34</v>
      </c>
      <c r="I142" t="s">
        <v>90</v>
      </c>
      <c r="J142" t="s">
        <v>73</v>
      </c>
      <c r="K142">
        <v>0</v>
      </c>
      <c r="M142">
        <v>0.16</v>
      </c>
      <c r="N142" t="s">
        <v>1995</v>
      </c>
      <c r="P142">
        <v>18797</v>
      </c>
      <c r="Q142">
        <v>-1.81</v>
      </c>
      <c r="R142">
        <v>0.6</v>
      </c>
      <c r="S142" t="b">
        <v>0</v>
      </c>
      <c r="T142">
        <v>3</v>
      </c>
      <c r="U142">
        <v>6</v>
      </c>
      <c r="V142" t="s">
        <v>1381</v>
      </c>
    </row>
    <row r="143" spans="1:22" x14ac:dyDescent="0.25">
      <c r="A143" s="1" t="s">
        <v>1994</v>
      </c>
      <c r="B143">
        <v>2012</v>
      </c>
      <c r="C143" t="s">
        <v>215</v>
      </c>
      <c r="D143" t="s">
        <v>91</v>
      </c>
      <c r="E143" t="s">
        <v>36</v>
      </c>
      <c r="F143" t="s">
        <v>35</v>
      </c>
      <c r="G143" t="s">
        <v>5</v>
      </c>
      <c r="H143" t="s">
        <v>15</v>
      </c>
      <c r="I143" t="s">
        <v>107</v>
      </c>
      <c r="J143" t="s">
        <v>23</v>
      </c>
      <c r="K143">
        <v>0</v>
      </c>
      <c r="M143">
        <v>0.12</v>
      </c>
      <c r="N143" t="s">
        <v>1993</v>
      </c>
      <c r="P143">
        <v>47917</v>
      </c>
      <c r="Q143">
        <v>2.09</v>
      </c>
      <c r="R143">
        <v>0.75</v>
      </c>
      <c r="S143" t="b">
        <v>0</v>
      </c>
      <c r="T143">
        <v>3</v>
      </c>
      <c r="U143">
        <v>5</v>
      </c>
      <c r="V143" t="s">
        <v>1381</v>
      </c>
    </row>
    <row r="144" spans="1:22" x14ac:dyDescent="0.25">
      <c r="A144" t="s">
        <v>1992</v>
      </c>
      <c r="B144">
        <v>2012</v>
      </c>
      <c r="C144" t="s">
        <v>171</v>
      </c>
      <c r="D144" t="s">
        <v>57</v>
      </c>
      <c r="E144" t="s">
        <v>50</v>
      </c>
      <c r="F144" t="s">
        <v>115</v>
      </c>
      <c r="G144" t="s">
        <v>135</v>
      </c>
      <c r="H144" t="s">
        <v>15</v>
      </c>
      <c r="I144" t="s">
        <v>68</v>
      </c>
      <c r="J144" t="s">
        <v>13</v>
      </c>
      <c r="K144">
        <v>0</v>
      </c>
      <c r="M144">
        <v>0.16</v>
      </c>
      <c r="N144" t="s">
        <v>522</v>
      </c>
      <c r="P144">
        <v>63929</v>
      </c>
      <c r="Q144">
        <v>-0.05</v>
      </c>
      <c r="R144">
        <v>0.67</v>
      </c>
      <c r="S144" t="b">
        <v>0</v>
      </c>
      <c r="T144">
        <v>3</v>
      </c>
      <c r="U144">
        <v>10</v>
      </c>
      <c r="V144" t="s">
        <v>1381</v>
      </c>
    </row>
    <row r="145" spans="1:22" x14ac:dyDescent="0.25">
      <c r="A145" t="s">
        <v>1991</v>
      </c>
      <c r="B145">
        <v>2012</v>
      </c>
      <c r="C145" t="s">
        <v>183</v>
      </c>
      <c r="D145" t="s">
        <v>131</v>
      </c>
      <c r="E145" t="s">
        <v>36</v>
      </c>
      <c r="F145" t="s">
        <v>80</v>
      </c>
      <c r="G145" t="s">
        <v>16</v>
      </c>
      <c r="H145" t="s">
        <v>179</v>
      </c>
      <c r="I145" t="s">
        <v>68</v>
      </c>
      <c r="J145" t="s">
        <v>2</v>
      </c>
      <c r="K145">
        <v>0</v>
      </c>
      <c r="M145">
        <v>0.19</v>
      </c>
      <c r="N145" t="s">
        <v>1990</v>
      </c>
      <c r="P145">
        <v>34606</v>
      </c>
      <c r="Q145">
        <v>-1.82</v>
      </c>
      <c r="R145">
        <v>0.85</v>
      </c>
      <c r="S145" t="b">
        <v>0</v>
      </c>
      <c r="T145">
        <v>1</v>
      </c>
      <c r="U145">
        <v>15</v>
      </c>
      <c r="V145" t="s">
        <v>1381</v>
      </c>
    </row>
    <row r="146" spans="1:22" x14ac:dyDescent="0.25">
      <c r="A146" t="s">
        <v>1989</v>
      </c>
      <c r="B146">
        <v>2012</v>
      </c>
      <c r="C146" t="s">
        <v>104</v>
      </c>
      <c r="D146" t="s">
        <v>8</v>
      </c>
      <c r="E146" t="s">
        <v>86</v>
      </c>
      <c r="F146" t="s">
        <v>41</v>
      </c>
      <c r="G146" t="s">
        <v>25</v>
      </c>
      <c r="H146" t="s">
        <v>102</v>
      </c>
      <c r="I146" t="s">
        <v>68</v>
      </c>
      <c r="J146" t="s">
        <v>23</v>
      </c>
      <c r="K146">
        <v>1</v>
      </c>
      <c r="L146" t="s">
        <v>578</v>
      </c>
      <c r="M146">
        <v>0.62</v>
      </c>
      <c r="N146" t="s">
        <v>1988</v>
      </c>
      <c r="O146" t="s">
        <v>578</v>
      </c>
      <c r="P146">
        <v>31619</v>
      </c>
      <c r="Q146">
        <v>-2.1</v>
      </c>
      <c r="R146">
        <v>0.15</v>
      </c>
      <c r="S146" t="b">
        <v>1</v>
      </c>
      <c r="T146">
        <v>3</v>
      </c>
      <c r="U146">
        <v>3</v>
      </c>
      <c r="V146" t="s">
        <v>1381</v>
      </c>
    </row>
    <row r="147" spans="1:22" x14ac:dyDescent="0.25">
      <c r="A147" t="s">
        <v>1987</v>
      </c>
      <c r="B147">
        <v>2012</v>
      </c>
      <c r="C147" t="s">
        <v>171</v>
      </c>
      <c r="D147" t="s">
        <v>57</v>
      </c>
      <c r="E147" t="s">
        <v>130</v>
      </c>
      <c r="F147" t="s">
        <v>6</v>
      </c>
      <c r="G147" t="s">
        <v>62</v>
      </c>
      <c r="H147" t="s">
        <v>179</v>
      </c>
      <c r="I147" t="s">
        <v>24</v>
      </c>
      <c r="J147" t="s">
        <v>2</v>
      </c>
      <c r="K147">
        <v>0</v>
      </c>
      <c r="M147">
        <v>0.13</v>
      </c>
      <c r="N147" t="s">
        <v>1986</v>
      </c>
      <c r="P147">
        <v>62734</v>
      </c>
      <c r="Q147">
        <v>-3.37</v>
      </c>
      <c r="R147">
        <v>0.9</v>
      </c>
      <c r="S147" t="b">
        <v>0</v>
      </c>
      <c r="T147">
        <v>2</v>
      </c>
      <c r="U147">
        <v>1</v>
      </c>
      <c r="V147" t="s">
        <v>1381</v>
      </c>
    </row>
    <row r="148" spans="1:22" x14ac:dyDescent="0.25">
      <c r="A148" t="s">
        <v>1985</v>
      </c>
      <c r="B148">
        <v>2012</v>
      </c>
      <c r="C148" t="s">
        <v>81</v>
      </c>
      <c r="D148" t="s">
        <v>28</v>
      </c>
      <c r="E148" t="s">
        <v>42</v>
      </c>
      <c r="F148" t="s">
        <v>69</v>
      </c>
      <c r="G148" t="s">
        <v>5</v>
      </c>
      <c r="H148" t="s">
        <v>49</v>
      </c>
      <c r="I148" t="s">
        <v>40</v>
      </c>
      <c r="J148" t="s">
        <v>79</v>
      </c>
      <c r="K148">
        <v>0</v>
      </c>
      <c r="M148">
        <v>0.08</v>
      </c>
      <c r="N148" t="s">
        <v>1984</v>
      </c>
      <c r="P148">
        <v>41531</v>
      </c>
      <c r="Q148">
        <v>-0.6</v>
      </c>
      <c r="R148">
        <v>0.86</v>
      </c>
      <c r="S148" t="b">
        <v>0</v>
      </c>
      <c r="T148">
        <v>3</v>
      </c>
      <c r="U148">
        <v>3</v>
      </c>
      <c r="V148" t="s">
        <v>1381</v>
      </c>
    </row>
    <row r="149" spans="1:22" x14ac:dyDescent="0.25">
      <c r="A149" t="s">
        <v>1983</v>
      </c>
      <c r="B149">
        <v>2012</v>
      </c>
      <c r="C149" t="s">
        <v>171</v>
      </c>
      <c r="D149" t="s">
        <v>57</v>
      </c>
      <c r="E149" t="s">
        <v>147</v>
      </c>
      <c r="F149" t="s">
        <v>69</v>
      </c>
      <c r="G149" t="s">
        <v>5</v>
      </c>
      <c r="H149" t="s">
        <v>179</v>
      </c>
      <c r="I149" t="s">
        <v>74</v>
      </c>
      <c r="J149" t="s">
        <v>73</v>
      </c>
      <c r="K149">
        <v>0</v>
      </c>
      <c r="M149">
        <v>0.19</v>
      </c>
      <c r="N149" t="s">
        <v>1982</v>
      </c>
      <c r="P149">
        <v>61174</v>
      </c>
      <c r="Q149">
        <v>-2.73</v>
      </c>
      <c r="R149">
        <v>0.74</v>
      </c>
      <c r="S149" t="b">
        <v>0</v>
      </c>
      <c r="T149">
        <v>1</v>
      </c>
      <c r="U149">
        <v>12</v>
      </c>
      <c r="V149" t="s">
        <v>1381</v>
      </c>
    </row>
    <row r="150" spans="1:22" x14ac:dyDescent="0.25">
      <c r="A150" t="s">
        <v>1981</v>
      </c>
      <c r="B150">
        <v>2012</v>
      </c>
      <c r="C150" t="s">
        <v>117</v>
      </c>
      <c r="D150" t="s">
        <v>91</v>
      </c>
      <c r="E150" t="s">
        <v>147</v>
      </c>
      <c r="F150" t="s">
        <v>6</v>
      </c>
      <c r="G150" t="s">
        <v>5</v>
      </c>
      <c r="H150" t="s">
        <v>102</v>
      </c>
      <c r="I150" t="s">
        <v>74</v>
      </c>
      <c r="J150" t="s">
        <v>79</v>
      </c>
      <c r="K150">
        <v>1</v>
      </c>
      <c r="L150" t="s">
        <v>1979</v>
      </c>
      <c r="M150">
        <v>0.76</v>
      </c>
      <c r="N150" t="s">
        <v>1980</v>
      </c>
      <c r="O150" t="s">
        <v>1979</v>
      </c>
      <c r="P150">
        <v>71773</v>
      </c>
      <c r="Q150">
        <v>-3.07</v>
      </c>
      <c r="R150">
        <v>0.35</v>
      </c>
      <c r="S150" t="b">
        <v>1</v>
      </c>
      <c r="T150">
        <v>2</v>
      </c>
      <c r="U150">
        <v>4</v>
      </c>
      <c r="V150" t="s">
        <v>1381</v>
      </c>
    </row>
    <row r="151" spans="1:22" x14ac:dyDescent="0.25">
      <c r="A151" t="s">
        <v>1978</v>
      </c>
      <c r="B151">
        <v>2012</v>
      </c>
      <c r="C151" t="s">
        <v>215</v>
      </c>
      <c r="D151" t="s">
        <v>91</v>
      </c>
      <c r="E151" t="s">
        <v>42</v>
      </c>
      <c r="F151" t="s">
        <v>69</v>
      </c>
      <c r="G151" t="s">
        <v>62</v>
      </c>
      <c r="H151" t="s">
        <v>4</v>
      </c>
      <c r="I151" t="s">
        <v>24</v>
      </c>
      <c r="J151" t="s">
        <v>23</v>
      </c>
      <c r="K151">
        <v>0</v>
      </c>
      <c r="M151">
        <v>0.05</v>
      </c>
      <c r="N151" t="s">
        <v>1977</v>
      </c>
      <c r="P151">
        <v>60721</v>
      </c>
      <c r="Q151">
        <v>1.33</v>
      </c>
      <c r="R151">
        <v>0.7</v>
      </c>
      <c r="S151" t="b">
        <v>0</v>
      </c>
      <c r="T151">
        <v>1</v>
      </c>
      <c r="U151">
        <v>5</v>
      </c>
      <c r="V151" t="s">
        <v>1381</v>
      </c>
    </row>
    <row r="152" spans="1:22" x14ac:dyDescent="0.25">
      <c r="A152" t="s">
        <v>1976</v>
      </c>
      <c r="B152">
        <v>2012</v>
      </c>
      <c r="C152" t="s">
        <v>148</v>
      </c>
      <c r="D152" t="s">
        <v>28</v>
      </c>
      <c r="E152" t="s">
        <v>56</v>
      </c>
      <c r="F152" t="s">
        <v>35</v>
      </c>
      <c r="G152" t="s">
        <v>25</v>
      </c>
      <c r="H152" t="s">
        <v>179</v>
      </c>
      <c r="I152" t="s">
        <v>40</v>
      </c>
      <c r="J152" t="s">
        <v>2</v>
      </c>
      <c r="K152">
        <v>0</v>
      </c>
      <c r="M152">
        <v>0.14000000000000001</v>
      </c>
      <c r="N152" t="s">
        <v>1975</v>
      </c>
      <c r="P152">
        <v>37341</v>
      </c>
      <c r="Q152">
        <v>2.57</v>
      </c>
      <c r="R152">
        <v>0.79</v>
      </c>
      <c r="S152" t="b">
        <v>0</v>
      </c>
      <c r="T152">
        <v>2</v>
      </c>
      <c r="U152">
        <v>0</v>
      </c>
      <c r="V152" t="s">
        <v>1381</v>
      </c>
    </row>
    <row r="153" spans="1:22" x14ac:dyDescent="0.25">
      <c r="A153" t="s">
        <v>1974</v>
      </c>
      <c r="B153">
        <v>2012</v>
      </c>
      <c r="C153" t="s">
        <v>316</v>
      </c>
      <c r="D153" t="s">
        <v>43</v>
      </c>
      <c r="E153" t="s">
        <v>116</v>
      </c>
      <c r="F153" t="s">
        <v>108</v>
      </c>
      <c r="G153" t="s">
        <v>5</v>
      </c>
      <c r="H153" t="s">
        <v>102</v>
      </c>
      <c r="I153" t="s">
        <v>68</v>
      </c>
      <c r="J153" t="s">
        <v>96</v>
      </c>
      <c r="K153">
        <v>0</v>
      </c>
      <c r="M153">
        <v>0.05</v>
      </c>
      <c r="N153" t="s">
        <v>1973</v>
      </c>
      <c r="P153">
        <v>55013</v>
      </c>
      <c r="Q153">
        <v>-4.21</v>
      </c>
      <c r="R153">
        <v>0.7</v>
      </c>
      <c r="S153" t="b">
        <v>0</v>
      </c>
      <c r="T153">
        <v>1</v>
      </c>
      <c r="U153">
        <v>14</v>
      </c>
      <c r="V153" t="s">
        <v>1381</v>
      </c>
    </row>
    <row r="154" spans="1:22" x14ac:dyDescent="0.25">
      <c r="A154" t="s">
        <v>1972</v>
      </c>
      <c r="B154">
        <v>2012</v>
      </c>
      <c r="C154" t="s">
        <v>287</v>
      </c>
      <c r="D154" t="s">
        <v>43</v>
      </c>
      <c r="E154" t="s">
        <v>42</v>
      </c>
      <c r="F154" t="s">
        <v>55</v>
      </c>
      <c r="G154" t="s">
        <v>135</v>
      </c>
      <c r="H154" t="s">
        <v>4</v>
      </c>
      <c r="I154" t="s">
        <v>74</v>
      </c>
      <c r="J154" t="s">
        <v>73</v>
      </c>
      <c r="K154">
        <v>0</v>
      </c>
      <c r="M154">
        <v>0.18</v>
      </c>
      <c r="N154" t="s">
        <v>1971</v>
      </c>
      <c r="P154">
        <v>65039</v>
      </c>
      <c r="Q154">
        <v>-3.11</v>
      </c>
      <c r="R154">
        <v>0.64</v>
      </c>
      <c r="S154" t="b">
        <v>0</v>
      </c>
      <c r="T154">
        <v>2</v>
      </c>
      <c r="U154">
        <v>16</v>
      </c>
      <c r="V154" t="s">
        <v>1381</v>
      </c>
    </row>
    <row r="155" spans="1:22" x14ac:dyDescent="0.25">
      <c r="A155" t="s">
        <v>1970</v>
      </c>
      <c r="B155">
        <v>2012</v>
      </c>
      <c r="C155" t="s">
        <v>104</v>
      </c>
      <c r="D155" t="s">
        <v>8</v>
      </c>
      <c r="E155" t="s">
        <v>27</v>
      </c>
      <c r="F155" t="s">
        <v>115</v>
      </c>
      <c r="G155" t="s">
        <v>62</v>
      </c>
      <c r="H155" t="s">
        <v>61</v>
      </c>
      <c r="I155" t="s">
        <v>68</v>
      </c>
      <c r="J155" t="s">
        <v>79</v>
      </c>
      <c r="K155">
        <v>0</v>
      </c>
      <c r="M155">
        <v>0.1</v>
      </c>
      <c r="N155" t="s">
        <v>1969</v>
      </c>
      <c r="P155">
        <v>21486</v>
      </c>
      <c r="Q155">
        <v>0.25</v>
      </c>
      <c r="R155">
        <v>0.79</v>
      </c>
      <c r="S155" t="b">
        <v>0</v>
      </c>
      <c r="T155">
        <v>1</v>
      </c>
      <c r="U155">
        <v>17</v>
      </c>
      <c r="V155" t="s">
        <v>1381</v>
      </c>
    </row>
    <row r="156" spans="1:22" x14ac:dyDescent="0.25">
      <c r="A156" t="s">
        <v>1968</v>
      </c>
      <c r="B156">
        <v>2012</v>
      </c>
      <c r="C156" t="s">
        <v>413</v>
      </c>
      <c r="D156" t="s">
        <v>8</v>
      </c>
      <c r="E156" t="s">
        <v>56</v>
      </c>
      <c r="F156" t="s">
        <v>108</v>
      </c>
      <c r="G156" t="s">
        <v>135</v>
      </c>
      <c r="H156" t="s">
        <v>61</v>
      </c>
      <c r="I156" t="s">
        <v>90</v>
      </c>
      <c r="J156" t="s">
        <v>79</v>
      </c>
      <c r="K156">
        <v>0</v>
      </c>
      <c r="M156">
        <v>0.04</v>
      </c>
      <c r="N156" t="s">
        <v>1967</v>
      </c>
      <c r="P156">
        <v>20018</v>
      </c>
      <c r="Q156">
        <v>-0.95</v>
      </c>
      <c r="R156">
        <v>0.67</v>
      </c>
      <c r="S156" t="b">
        <v>0</v>
      </c>
      <c r="T156">
        <v>2</v>
      </c>
      <c r="U156">
        <v>0</v>
      </c>
      <c r="V156" t="s">
        <v>1381</v>
      </c>
    </row>
    <row r="157" spans="1:22" x14ac:dyDescent="0.25">
      <c r="A157" t="s">
        <v>1966</v>
      </c>
      <c r="B157">
        <v>2012</v>
      </c>
      <c r="C157" t="s">
        <v>51</v>
      </c>
      <c r="D157" t="s">
        <v>18</v>
      </c>
      <c r="E157" t="s">
        <v>42</v>
      </c>
      <c r="F157" t="s">
        <v>75</v>
      </c>
      <c r="G157" t="s">
        <v>25</v>
      </c>
      <c r="H157" t="s">
        <v>85</v>
      </c>
      <c r="I157" t="s">
        <v>40</v>
      </c>
      <c r="J157" t="s">
        <v>23</v>
      </c>
      <c r="K157">
        <v>0</v>
      </c>
      <c r="M157">
        <v>0.11</v>
      </c>
      <c r="N157" t="s">
        <v>1965</v>
      </c>
      <c r="P157">
        <v>56844</v>
      </c>
      <c r="Q157">
        <v>0.02</v>
      </c>
      <c r="R157">
        <v>0.89</v>
      </c>
      <c r="S157" t="b">
        <v>0</v>
      </c>
      <c r="T157">
        <v>1</v>
      </c>
      <c r="U157">
        <v>7</v>
      </c>
      <c r="V157" t="s">
        <v>1381</v>
      </c>
    </row>
    <row r="158" spans="1:22" x14ac:dyDescent="0.25">
      <c r="A158" t="s">
        <v>1964</v>
      </c>
      <c r="B158">
        <v>2012</v>
      </c>
      <c r="C158" t="s">
        <v>281</v>
      </c>
      <c r="D158" t="s">
        <v>91</v>
      </c>
      <c r="E158" t="s">
        <v>27</v>
      </c>
      <c r="F158" t="s">
        <v>69</v>
      </c>
      <c r="G158" t="s">
        <v>25</v>
      </c>
      <c r="H158" t="s">
        <v>141</v>
      </c>
      <c r="I158" t="s">
        <v>97</v>
      </c>
      <c r="J158" t="s">
        <v>13</v>
      </c>
      <c r="K158">
        <v>0</v>
      </c>
      <c r="M158">
        <v>0.11</v>
      </c>
      <c r="N158" t="s">
        <v>1963</v>
      </c>
      <c r="P158">
        <v>59460</v>
      </c>
      <c r="Q158">
        <v>1.58</v>
      </c>
      <c r="R158">
        <v>0.63</v>
      </c>
      <c r="S158" t="b">
        <v>0</v>
      </c>
      <c r="T158">
        <v>3</v>
      </c>
      <c r="U158">
        <v>0</v>
      </c>
      <c r="V158" t="s">
        <v>1381</v>
      </c>
    </row>
    <row r="159" spans="1:22" x14ac:dyDescent="0.25">
      <c r="A159" t="s">
        <v>1962</v>
      </c>
      <c r="B159">
        <v>2012</v>
      </c>
      <c r="C159" t="s">
        <v>51</v>
      </c>
      <c r="D159" t="s">
        <v>18</v>
      </c>
      <c r="E159" t="s">
        <v>121</v>
      </c>
      <c r="F159" t="s">
        <v>108</v>
      </c>
      <c r="G159" t="s">
        <v>135</v>
      </c>
      <c r="H159" t="s">
        <v>49</v>
      </c>
      <c r="I159" t="s">
        <v>14</v>
      </c>
      <c r="J159" t="s">
        <v>13</v>
      </c>
      <c r="K159">
        <v>0</v>
      </c>
      <c r="M159">
        <v>0.05</v>
      </c>
      <c r="N159" t="s">
        <v>1961</v>
      </c>
      <c r="P159">
        <v>53827</v>
      </c>
      <c r="Q159">
        <v>4.58</v>
      </c>
      <c r="R159">
        <v>0.88</v>
      </c>
      <c r="S159" t="b">
        <v>0</v>
      </c>
      <c r="T159">
        <v>2</v>
      </c>
      <c r="U159">
        <v>0</v>
      </c>
      <c r="V159" t="s">
        <v>1381</v>
      </c>
    </row>
    <row r="160" spans="1:22" x14ac:dyDescent="0.25">
      <c r="A160" t="s">
        <v>1960</v>
      </c>
      <c r="B160">
        <v>2012</v>
      </c>
      <c r="C160" t="s">
        <v>167</v>
      </c>
      <c r="D160" t="s">
        <v>43</v>
      </c>
      <c r="E160" t="s">
        <v>147</v>
      </c>
      <c r="F160" t="s">
        <v>6</v>
      </c>
      <c r="G160" t="s">
        <v>135</v>
      </c>
      <c r="H160" t="s">
        <v>102</v>
      </c>
      <c r="I160" t="s">
        <v>14</v>
      </c>
      <c r="J160" t="s">
        <v>79</v>
      </c>
      <c r="K160">
        <v>0</v>
      </c>
      <c r="M160">
        <v>0.18</v>
      </c>
      <c r="N160" t="s">
        <v>1959</v>
      </c>
      <c r="P160">
        <v>71122</v>
      </c>
      <c r="Q160">
        <v>0.89</v>
      </c>
      <c r="R160">
        <v>0.85</v>
      </c>
      <c r="S160" t="b">
        <v>0</v>
      </c>
      <c r="T160">
        <v>2</v>
      </c>
      <c r="U160">
        <v>19</v>
      </c>
      <c r="V160" t="s">
        <v>1381</v>
      </c>
    </row>
    <row r="161" spans="1:22" x14ac:dyDescent="0.25">
      <c r="A161" t="s">
        <v>1958</v>
      </c>
      <c r="B161">
        <v>2012</v>
      </c>
      <c r="C161" t="s">
        <v>157</v>
      </c>
      <c r="D161" t="s">
        <v>18</v>
      </c>
      <c r="E161" t="s">
        <v>7</v>
      </c>
      <c r="F161" t="s">
        <v>69</v>
      </c>
      <c r="G161" t="s">
        <v>135</v>
      </c>
      <c r="H161" t="s">
        <v>141</v>
      </c>
      <c r="I161" t="s">
        <v>68</v>
      </c>
      <c r="J161" t="s">
        <v>79</v>
      </c>
      <c r="K161">
        <v>0</v>
      </c>
      <c r="M161">
        <v>0.11</v>
      </c>
      <c r="N161" t="s">
        <v>1957</v>
      </c>
      <c r="P161">
        <v>55281</v>
      </c>
      <c r="Q161">
        <v>-1.02</v>
      </c>
      <c r="R161">
        <v>0.74</v>
      </c>
      <c r="S161" t="b">
        <v>0</v>
      </c>
      <c r="T161">
        <v>2</v>
      </c>
      <c r="U161">
        <v>1</v>
      </c>
      <c r="V161" t="s">
        <v>1381</v>
      </c>
    </row>
    <row r="162" spans="1:22" x14ac:dyDescent="0.25">
      <c r="A162" t="s">
        <v>1956</v>
      </c>
      <c r="B162">
        <v>2012</v>
      </c>
      <c r="C162" t="s">
        <v>92</v>
      </c>
      <c r="D162" t="s">
        <v>91</v>
      </c>
      <c r="E162" t="s">
        <v>130</v>
      </c>
      <c r="F162" t="s">
        <v>55</v>
      </c>
      <c r="G162" t="s">
        <v>135</v>
      </c>
      <c r="H162" t="s">
        <v>179</v>
      </c>
      <c r="I162" t="s">
        <v>74</v>
      </c>
      <c r="J162" t="s">
        <v>73</v>
      </c>
      <c r="K162">
        <v>0</v>
      </c>
      <c r="M162">
        <v>0.02</v>
      </c>
      <c r="N162" t="s">
        <v>1955</v>
      </c>
      <c r="P162">
        <v>49719</v>
      </c>
      <c r="Q162">
        <v>-3.92</v>
      </c>
      <c r="R162">
        <v>0.85</v>
      </c>
      <c r="S162" t="b">
        <v>0</v>
      </c>
      <c r="T162">
        <v>2</v>
      </c>
      <c r="U162">
        <v>14</v>
      </c>
      <c r="V162" t="s">
        <v>1381</v>
      </c>
    </row>
    <row r="163" spans="1:22" x14ac:dyDescent="0.25">
      <c r="A163" t="s">
        <v>1954</v>
      </c>
      <c r="B163">
        <v>2012</v>
      </c>
      <c r="C163" t="s">
        <v>164</v>
      </c>
      <c r="D163" t="s">
        <v>8</v>
      </c>
      <c r="E163" t="s">
        <v>130</v>
      </c>
      <c r="F163" t="s">
        <v>6</v>
      </c>
      <c r="G163" t="s">
        <v>135</v>
      </c>
      <c r="H163" t="s">
        <v>85</v>
      </c>
      <c r="I163" t="s">
        <v>14</v>
      </c>
      <c r="J163" t="s">
        <v>73</v>
      </c>
      <c r="K163">
        <v>0</v>
      </c>
      <c r="M163">
        <v>0.03</v>
      </c>
      <c r="N163" t="s">
        <v>1953</v>
      </c>
      <c r="P163">
        <v>23723</v>
      </c>
      <c r="Q163">
        <v>-1.75</v>
      </c>
      <c r="R163">
        <v>0.71</v>
      </c>
      <c r="S163" t="b">
        <v>0</v>
      </c>
      <c r="T163">
        <v>2</v>
      </c>
      <c r="U163">
        <v>15</v>
      </c>
      <c r="V163" t="s">
        <v>1381</v>
      </c>
    </row>
    <row r="164" spans="1:22" x14ac:dyDescent="0.25">
      <c r="A164" t="s">
        <v>1952</v>
      </c>
      <c r="B164">
        <v>2012</v>
      </c>
      <c r="C164" t="s">
        <v>70</v>
      </c>
      <c r="D164" t="s">
        <v>18</v>
      </c>
      <c r="E164" t="s">
        <v>7</v>
      </c>
      <c r="F164" t="s">
        <v>80</v>
      </c>
      <c r="G164" t="s">
        <v>5</v>
      </c>
      <c r="H164" t="s">
        <v>15</v>
      </c>
      <c r="I164" t="s">
        <v>97</v>
      </c>
      <c r="J164" t="s">
        <v>79</v>
      </c>
      <c r="K164">
        <v>0</v>
      </c>
      <c r="M164">
        <v>0.19</v>
      </c>
      <c r="N164" t="s">
        <v>1951</v>
      </c>
      <c r="P164">
        <v>50697</v>
      </c>
      <c r="Q164">
        <v>0.16</v>
      </c>
      <c r="R164">
        <v>0.81</v>
      </c>
      <c r="S164" t="b">
        <v>0</v>
      </c>
      <c r="T164">
        <v>2</v>
      </c>
      <c r="U164">
        <v>13</v>
      </c>
      <c r="V164" t="s">
        <v>1381</v>
      </c>
    </row>
    <row r="165" spans="1:22" x14ac:dyDescent="0.25">
      <c r="A165" t="s">
        <v>1950</v>
      </c>
      <c r="B165">
        <v>2012</v>
      </c>
      <c r="C165" t="s">
        <v>171</v>
      </c>
      <c r="D165" t="s">
        <v>57</v>
      </c>
      <c r="E165" t="s">
        <v>56</v>
      </c>
      <c r="F165" t="s">
        <v>156</v>
      </c>
      <c r="G165" t="s">
        <v>62</v>
      </c>
      <c r="H165" t="s">
        <v>61</v>
      </c>
      <c r="I165" t="s">
        <v>14</v>
      </c>
      <c r="J165" t="s">
        <v>2</v>
      </c>
      <c r="K165">
        <v>0</v>
      </c>
      <c r="M165">
        <v>0.06</v>
      </c>
      <c r="N165" t="s">
        <v>1949</v>
      </c>
      <c r="P165">
        <v>63823</v>
      </c>
      <c r="Q165">
        <v>1.7</v>
      </c>
      <c r="R165">
        <v>0.71</v>
      </c>
      <c r="S165" t="b">
        <v>0</v>
      </c>
      <c r="T165">
        <v>3</v>
      </c>
      <c r="U165">
        <v>3</v>
      </c>
      <c r="V165" t="s">
        <v>1381</v>
      </c>
    </row>
    <row r="166" spans="1:22" x14ac:dyDescent="0.25">
      <c r="A166" t="s">
        <v>1948</v>
      </c>
      <c r="B166">
        <v>2012</v>
      </c>
      <c r="C166" t="s">
        <v>176</v>
      </c>
      <c r="D166" t="s">
        <v>64</v>
      </c>
      <c r="E166" t="s">
        <v>7</v>
      </c>
      <c r="F166" t="s">
        <v>112</v>
      </c>
      <c r="G166" t="s">
        <v>5</v>
      </c>
      <c r="H166" t="s">
        <v>141</v>
      </c>
      <c r="I166" t="s">
        <v>33</v>
      </c>
      <c r="J166" t="s">
        <v>13</v>
      </c>
      <c r="K166">
        <v>0</v>
      </c>
      <c r="M166">
        <v>0.08</v>
      </c>
      <c r="N166" t="s">
        <v>1947</v>
      </c>
      <c r="P166">
        <v>64078</v>
      </c>
      <c r="Q166">
        <v>-4.7</v>
      </c>
      <c r="R166">
        <v>0.85</v>
      </c>
      <c r="S166" t="b">
        <v>0</v>
      </c>
      <c r="T166">
        <v>2</v>
      </c>
      <c r="U166">
        <v>2</v>
      </c>
      <c r="V166" t="s">
        <v>1381</v>
      </c>
    </row>
    <row r="167" spans="1:22" x14ac:dyDescent="0.25">
      <c r="A167" t="s">
        <v>1946</v>
      </c>
      <c r="B167">
        <v>2012</v>
      </c>
      <c r="C167" t="s">
        <v>92</v>
      </c>
      <c r="D167" t="s">
        <v>91</v>
      </c>
      <c r="E167" t="s">
        <v>130</v>
      </c>
      <c r="F167" t="s">
        <v>75</v>
      </c>
      <c r="G167" t="s">
        <v>5</v>
      </c>
      <c r="H167" t="s">
        <v>102</v>
      </c>
      <c r="I167" t="s">
        <v>40</v>
      </c>
      <c r="J167" t="s">
        <v>23</v>
      </c>
      <c r="K167">
        <v>0</v>
      </c>
      <c r="M167">
        <v>0.06</v>
      </c>
      <c r="N167" t="s">
        <v>1945</v>
      </c>
      <c r="P167">
        <v>46426</v>
      </c>
      <c r="Q167">
        <v>-4.0999999999999996</v>
      </c>
      <c r="R167">
        <v>0.85</v>
      </c>
      <c r="S167" t="b">
        <v>0</v>
      </c>
      <c r="T167">
        <v>2</v>
      </c>
      <c r="U167">
        <v>1</v>
      </c>
      <c r="V167" t="s">
        <v>1381</v>
      </c>
    </row>
    <row r="168" spans="1:22" x14ac:dyDescent="0.25">
      <c r="A168" t="s">
        <v>1944</v>
      </c>
      <c r="B168">
        <v>2012</v>
      </c>
      <c r="C168" t="s">
        <v>358</v>
      </c>
      <c r="D168" t="s">
        <v>131</v>
      </c>
      <c r="E168" t="s">
        <v>17</v>
      </c>
      <c r="F168" t="s">
        <v>80</v>
      </c>
      <c r="G168" t="s">
        <v>5</v>
      </c>
      <c r="H168" t="s">
        <v>4</v>
      </c>
      <c r="I168" t="s">
        <v>90</v>
      </c>
      <c r="J168" t="s">
        <v>73</v>
      </c>
      <c r="K168">
        <v>1</v>
      </c>
      <c r="L168" t="s">
        <v>1943</v>
      </c>
      <c r="M168">
        <v>0.43</v>
      </c>
      <c r="N168" t="s">
        <v>1636</v>
      </c>
      <c r="O168" t="s">
        <v>1943</v>
      </c>
      <c r="P168">
        <v>42535</v>
      </c>
      <c r="Q168">
        <v>0.62</v>
      </c>
      <c r="R168">
        <v>0.31</v>
      </c>
      <c r="S168" t="b">
        <v>1</v>
      </c>
      <c r="T168">
        <v>1</v>
      </c>
      <c r="U168">
        <v>2</v>
      </c>
      <c r="V168" t="s">
        <v>1381</v>
      </c>
    </row>
    <row r="169" spans="1:22" x14ac:dyDescent="0.25">
      <c r="A169" t="s">
        <v>1942</v>
      </c>
      <c r="B169">
        <v>2012</v>
      </c>
      <c r="C169" t="s">
        <v>176</v>
      </c>
      <c r="D169" t="s">
        <v>64</v>
      </c>
      <c r="E169" t="s">
        <v>17</v>
      </c>
      <c r="F169" t="s">
        <v>35</v>
      </c>
      <c r="G169" t="s">
        <v>62</v>
      </c>
      <c r="H169" t="s">
        <v>61</v>
      </c>
      <c r="I169" t="s">
        <v>40</v>
      </c>
      <c r="J169" t="s">
        <v>79</v>
      </c>
      <c r="K169">
        <v>0</v>
      </c>
      <c r="M169">
        <v>0.08</v>
      </c>
      <c r="N169" t="s">
        <v>1941</v>
      </c>
      <c r="P169">
        <v>71882</v>
      </c>
      <c r="Q169">
        <v>-4.97</v>
      </c>
      <c r="R169">
        <v>0.9</v>
      </c>
      <c r="S169" t="b">
        <v>0</v>
      </c>
      <c r="T169">
        <v>1</v>
      </c>
      <c r="U169">
        <v>2</v>
      </c>
      <c r="V169" t="s">
        <v>1381</v>
      </c>
    </row>
    <row r="170" spans="1:22" x14ac:dyDescent="0.25">
      <c r="A170" t="s">
        <v>1940</v>
      </c>
      <c r="B170">
        <v>2012</v>
      </c>
      <c r="C170" t="s">
        <v>378</v>
      </c>
      <c r="D170" t="s">
        <v>43</v>
      </c>
      <c r="E170" t="s">
        <v>219</v>
      </c>
      <c r="F170" t="s">
        <v>63</v>
      </c>
      <c r="G170" t="s">
        <v>62</v>
      </c>
      <c r="H170" t="s">
        <v>102</v>
      </c>
      <c r="I170" t="s">
        <v>33</v>
      </c>
      <c r="J170" t="s">
        <v>73</v>
      </c>
      <c r="K170">
        <v>0</v>
      </c>
      <c r="M170">
        <v>0.1</v>
      </c>
      <c r="N170" t="s">
        <v>1939</v>
      </c>
      <c r="P170">
        <v>72836</v>
      </c>
      <c r="Q170">
        <v>-4.6399999999999997</v>
      </c>
      <c r="R170">
        <v>0.88</v>
      </c>
      <c r="S170" t="b">
        <v>0</v>
      </c>
      <c r="T170">
        <v>2</v>
      </c>
      <c r="U170">
        <v>0</v>
      </c>
      <c r="V170" t="s">
        <v>1381</v>
      </c>
    </row>
    <row r="171" spans="1:22" x14ac:dyDescent="0.25">
      <c r="A171" t="s">
        <v>1938</v>
      </c>
      <c r="B171">
        <v>2012</v>
      </c>
      <c r="C171" t="s">
        <v>157</v>
      </c>
      <c r="D171" t="s">
        <v>18</v>
      </c>
      <c r="E171" t="s">
        <v>130</v>
      </c>
      <c r="F171" t="s">
        <v>103</v>
      </c>
      <c r="G171" t="s">
        <v>135</v>
      </c>
      <c r="H171" t="s">
        <v>49</v>
      </c>
      <c r="I171" t="s">
        <v>74</v>
      </c>
      <c r="J171" t="s">
        <v>13</v>
      </c>
      <c r="K171">
        <v>0</v>
      </c>
      <c r="M171">
        <v>0.11</v>
      </c>
      <c r="N171" t="s">
        <v>1937</v>
      </c>
      <c r="P171">
        <v>50395</v>
      </c>
      <c r="Q171">
        <v>-2.95</v>
      </c>
      <c r="R171">
        <v>0.87</v>
      </c>
      <c r="S171" t="b">
        <v>0</v>
      </c>
      <c r="T171">
        <v>1</v>
      </c>
      <c r="U171">
        <v>8</v>
      </c>
      <c r="V171" t="s">
        <v>1381</v>
      </c>
    </row>
    <row r="172" spans="1:22" x14ac:dyDescent="0.25">
      <c r="A172" t="s">
        <v>1936</v>
      </c>
      <c r="B172">
        <v>2012</v>
      </c>
      <c r="C172" t="s">
        <v>304</v>
      </c>
      <c r="D172" t="s">
        <v>131</v>
      </c>
      <c r="E172" t="s">
        <v>17</v>
      </c>
      <c r="F172" t="s">
        <v>6</v>
      </c>
      <c r="G172" t="s">
        <v>16</v>
      </c>
      <c r="H172" t="s">
        <v>4</v>
      </c>
      <c r="I172" t="s">
        <v>14</v>
      </c>
      <c r="J172" t="s">
        <v>79</v>
      </c>
      <c r="K172">
        <v>0</v>
      </c>
      <c r="M172">
        <v>0.02</v>
      </c>
      <c r="N172" t="s">
        <v>1935</v>
      </c>
      <c r="P172">
        <v>27479</v>
      </c>
      <c r="Q172">
        <v>0.31</v>
      </c>
      <c r="R172">
        <v>0.89</v>
      </c>
      <c r="S172" t="b">
        <v>0</v>
      </c>
      <c r="T172">
        <v>2</v>
      </c>
      <c r="U172">
        <v>9</v>
      </c>
      <c r="V172" t="s">
        <v>1381</v>
      </c>
    </row>
    <row r="173" spans="1:22" x14ac:dyDescent="0.25">
      <c r="A173" t="s">
        <v>1934</v>
      </c>
      <c r="B173">
        <v>2012</v>
      </c>
      <c r="C173" t="s">
        <v>58</v>
      </c>
      <c r="D173" t="s">
        <v>57</v>
      </c>
      <c r="E173" t="s">
        <v>56</v>
      </c>
      <c r="F173" t="s">
        <v>55</v>
      </c>
      <c r="G173" t="s">
        <v>25</v>
      </c>
      <c r="H173" t="s">
        <v>15</v>
      </c>
      <c r="I173" t="s">
        <v>14</v>
      </c>
      <c r="J173" t="s">
        <v>96</v>
      </c>
      <c r="K173">
        <v>0</v>
      </c>
      <c r="M173">
        <v>0.17</v>
      </c>
      <c r="N173" t="s">
        <v>1933</v>
      </c>
      <c r="P173">
        <v>66962</v>
      </c>
      <c r="Q173">
        <v>1.0900000000000001</v>
      </c>
      <c r="R173">
        <v>0.89</v>
      </c>
      <c r="S173" t="b">
        <v>0</v>
      </c>
      <c r="T173">
        <v>1</v>
      </c>
      <c r="U173">
        <v>13</v>
      </c>
      <c r="V173" t="s">
        <v>1381</v>
      </c>
    </row>
    <row r="174" spans="1:22" x14ac:dyDescent="0.25">
      <c r="A174" t="s">
        <v>1932</v>
      </c>
      <c r="B174">
        <v>2012</v>
      </c>
      <c r="C174" t="s">
        <v>316</v>
      </c>
      <c r="D174" t="s">
        <v>43</v>
      </c>
      <c r="E174" t="s">
        <v>56</v>
      </c>
      <c r="F174" t="s">
        <v>41</v>
      </c>
      <c r="G174" t="s">
        <v>25</v>
      </c>
      <c r="H174" t="s">
        <v>141</v>
      </c>
      <c r="I174" t="s">
        <v>90</v>
      </c>
      <c r="J174" t="s">
        <v>73</v>
      </c>
      <c r="K174">
        <v>0</v>
      </c>
      <c r="M174">
        <v>0.1</v>
      </c>
      <c r="N174" t="s">
        <v>1931</v>
      </c>
      <c r="P174">
        <v>71319</v>
      </c>
      <c r="Q174">
        <v>-3.3</v>
      </c>
      <c r="R174">
        <v>0.69</v>
      </c>
      <c r="S174" t="b">
        <v>0</v>
      </c>
      <c r="T174">
        <v>3</v>
      </c>
      <c r="U174">
        <v>18</v>
      </c>
      <c r="V174" t="s">
        <v>1381</v>
      </c>
    </row>
    <row r="175" spans="1:22" x14ac:dyDescent="0.25">
      <c r="A175" t="s">
        <v>1930</v>
      </c>
      <c r="B175">
        <v>2012</v>
      </c>
      <c r="C175" t="s">
        <v>220</v>
      </c>
      <c r="D175" t="s">
        <v>91</v>
      </c>
      <c r="E175" t="s">
        <v>130</v>
      </c>
      <c r="F175" t="s">
        <v>6</v>
      </c>
      <c r="G175" t="s">
        <v>16</v>
      </c>
      <c r="H175" t="s">
        <v>102</v>
      </c>
      <c r="I175" t="s">
        <v>107</v>
      </c>
      <c r="J175" t="s">
        <v>2</v>
      </c>
      <c r="K175">
        <v>0</v>
      </c>
      <c r="M175">
        <v>0.1</v>
      </c>
      <c r="N175" t="s">
        <v>1929</v>
      </c>
      <c r="P175">
        <v>54455</v>
      </c>
      <c r="Q175">
        <v>2.04</v>
      </c>
      <c r="R175">
        <v>0.63</v>
      </c>
      <c r="S175" t="b">
        <v>0</v>
      </c>
      <c r="T175">
        <v>1</v>
      </c>
      <c r="U175">
        <v>4</v>
      </c>
      <c r="V175" t="s">
        <v>1381</v>
      </c>
    </row>
    <row r="176" spans="1:22" x14ac:dyDescent="0.25">
      <c r="A176" t="s">
        <v>1928</v>
      </c>
      <c r="B176">
        <v>2012</v>
      </c>
      <c r="C176" t="s">
        <v>157</v>
      </c>
      <c r="D176" t="s">
        <v>18</v>
      </c>
      <c r="E176" t="s">
        <v>86</v>
      </c>
      <c r="F176" t="s">
        <v>80</v>
      </c>
      <c r="G176" t="s">
        <v>135</v>
      </c>
      <c r="H176" t="s">
        <v>179</v>
      </c>
      <c r="I176" t="s">
        <v>33</v>
      </c>
      <c r="J176" t="s">
        <v>79</v>
      </c>
      <c r="K176">
        <v>0</v>
      </c>
      <c r="M176">
        <v>0.11</v>
      </c>
      <c r="N176" t="s">
        <v>1927</v>
      </c>
      <c r="P176">
        <v>50100</v>
      </c>
      <c r="Q176">
        <v>-1.61</v>
      </c>
      <c r="R176">
        <v>0.74</v>
      </c>
      <c r="S176" t="b">
        <v>0</v>
      </c>
      <c r="T176">
        <v>2</v>
      </c>
      <c r="U176">
        <v>6</v>
      </c>
      <c r="V176" t="s">
        <v>1381</v>
      </c>
    </row>
    <row r="177" spans="1:22" x14ac:dyDescent="0.25">
      <c r="A177" t="s">
        <v>1926</v>
      </c>
      <c r="B177">
        <v>2012</v>
      </c>
      <c r="C177" t="s">
        <v>164</v>
      </c>
      <c r="D177" t="s">
        <v>8</v>
      </c>
      <c r="E177" t="s">
        <v>130</v>
      </c>
      <c r="F177" t="s">
        <v>136</v>
      </c>
      <c r="G177" t="s">
        <v>62</v>
      </c>
      <c r="H177" t="s">
        <v>15</v>
      </c>
      <c r="I177" t="s">
        <v>74</v>
      </c>
      <c r="J177" t="s">
        <v>2</v>
      </c>
      <c r="K177">
        <v>0</v>
      </c>
      <c r="M177">
        <v>0.18</v>
      </c>
      <c r="N177" t="s">
        <v>1925</v>
      </c>
      <c r="P177">
        <v>20993</v>
      </c>
      <c r="Q177">
        <v>2.9</v>
      </c>
      <c r="R177">
        <v>0.71</v>
      </c>
      <c r="S177" t="b">
        <v>0</v>
      </c>
      <c r="T177">
        <v>1</v>
      </c>
      <c r="U177">
        <v>19</v>
      </c>
      <c r="V177" t="s">
        <v>1381</v>
      </c>
    </row>
    <row r="178" spans="1:22" x14ac:dyDescent="0.25">
      <c r="A178" t="s">
        <v>1924</v>
      </c>
      <c r="B178">
        <v>2012</v>
      </c>
      <c r="C178" t="s">
        <v>267</v>
      </c>
      <c r="D178" t="s">
        <v>43</v>
      </c>
      <c r="E178" t="s">
        <v>27</v>
      </c>
      <c r="F178" t="s">
        <v>108</v>
      </c>
      <c r="G178" t="s">
        <v>135</v>
      </c>
      <c r="H178" t="s">
        <v>102</v>
      </c>
      <c r="I178" t="s">
        <v>68</v>
      </c>
      <c r="J178" t="s">
        <v>2</v>
      </c>
      <c r="K178">
        <v>0</v>
      </c>
      <c r="M178">
        <v>0.11</v>
      </c>
      <c r="N178" t="s">
        <v>1070</v>
      </c>
      <c r="P178">
        <v>56867</v>
      </c>
      <c r="Q178">
        <v>-3.19</v>
      </c>
      <c r="R178">
        <v>0.66</v>
      </c>
      <c r="S178" t="b">
        <v>0</v>
      </c>
      <c r="T178">
        <v>2</v>
      </c>
      <c r="U178">
        <v>3</v>
      </c>
      <c r="V178" t="s">
        <v>1381</v>
      </c>
    </row>
    <row r="179" spans="1:22" x14ac:dyDescent="0.25">
      <c r="A179" t="s">
        <v>1923</v>
      </c>
      <c r="B179">
        <v>2012</v>
      </c>
      <c r="C179" t="s">
        <v>167</v>
      </c>
      <c r="D179" t="s">
        <v>43</v>
      </c>
      <c r="E179" t="s">
        <v>116</v>
      </c>
      <c r="F179" t="s">
        <v>55</v>
      </c>
      <c r="G179" t="s">
        <v>25</v>
      </c>
      <c r="H179" t="s">
        <v>141</v>
      </c>
      <c r="I179" t="s">
        <v>24</v>
      </c>
      <c r="J179" t="s">
        <v>73</v>
      </c>
      <c r="K179">
        <v>0</v>
      </c>
      <c r="M179">
        <v>0.16</v>
      </c>
      <c r="N179" t="s">
        <v>1922</v>
      </c>
      <c r="P179">
        <v>66047</v>
      </c>
      <c r="Q179">
        <v>1.75</v>
      </c>
      <c r="R179">
        <v>0.81</v>
      </c>
      <c r="S179" t="b">
        <v>0</v>
      </c>
      <c r="T179">
        <v>3</v>
      </c>
      <c r="U179">
        <v>6</v>
      </c>
      <c r="V179" t="s">
        <v>1381</v>
      </c>
    </row>
    <row r="180" spans="1:22" x14ac:dyDescent="0.25">
      <c r="A180" t="s">
        <v>1921</v>
      </c>
      <c r="B180">
        <v>2012</v>
      </c>
      <c r="C180" t="s">
        <v>29</v>
      </c>
      <c r="D180" t="s">
        <v>28</v>
      </c>
      <c r="E180" t="s">
        <v>219</v>
      </c>
      <c r="F180" t="s">
        <v>80</v>
      </c>
      <c r="G180" t="s">
        <v>135</v>
      </c>
      <c r="H180" t="s">
        <v>34</v>
      </c>
      <c r="I180" t="s">
        <v>90</v>
      </c>
      <c r="J180" t="s">
        <v>2</v>
      </c>
      <c r="K180">
        <v>0</v>
      </c>
      <c r="M180">
        <v>0.04</v>
      </c>
      <c r="N180" t="s">
        <v>1920</v>
      </c>
      <c r="P180">
        <v>38426</v>
      </c>
      <c r="Q180">
        <v>-3.66</v>
      </c>
      <c r="R180">
        <v>0.69</v>
      </c>
      <c r="S180" t="b">
        <v>0</v>
      </c>
      <c r="T180">
        <v>2</v>
      </c>
      <c r="U180">
        <v>15</v>
      </c>
      <c r="V180" t="s">
        <v>1381</v>
      </c>
    </row>
    <row r="181" spans="1:22" x14ac:dyDescent="0.25">
      <c r="A181" t="s">
        <v>1919</v>
      </c>
      <c r="B181">
        <v>2013</v>
      </c>
      <c r="C181" t="s">
        <v>245</v>
      </c>
      <c r="D181" t="s">
        <v>125</v>
      </c>
      <c r="E181" t="s">
        <v>56</v>
      </c>
      <c r="F181" t="s">
        <v>41</v>
      </c>
      <c r="G181" t="s">
        <v>135</v>
      </c>
      <c r="H181" t="s">
        <v>141</v>
      </c>
      <c r="I181" t="s">
        <v>33</v>
      </c>
      <c r="J181" t="s">
        <v>79</v>
      </c>
      <c r="K181">
        <v>0</v>
      </c>
      <c r="M181">
        <v>0.18</v>
      </c>
      <c r="N181" t="s">
        <v>1918</v>
      </c>
      <c r="P181">
        <v>21542</v>
      </c>
      <c r="Q181">
        <v>-4.29</v>
      </c>
      <c r="R181">
        <v>0.65</v>
      </c>
      <c r="S181" t="b">
        <v>0</v>
      </c>
      <c r="T181">
        <v>3</v>
      </c>
      <c r="U181">
        <v>1</v>
      </c>
      <c r="V181" t="s">
        <v>1381</v>
      </c>
    </row>
    <row r="182" spans="1:22" x14ac:dyDescent="0.25">
      <c r="A182" t="s">
        <v>1917</v>
      </c>
      <c r="B182">
        <v>2013</v>
      </c>
      <c r="C182" t="s">
        <v>164</v>
      </c>
      <c r="D182" t="s">
        <v>8</v>
      </c>
      <c r="E182" t="s">
        <v>27</v>
      </c>
      <c r="F182" t="s">
        <v>55</v>
      </c>
      <c r="G182" t="s">
        <v>16</v>
      </c>
      <c r="H182" t="s">
        <v>141</v>
      </c>
      <c r="I182" t="s">
        <v>40</v>
      </c>
      <c r="J182" t="s">
        <v>73</v>
      </c>
      <c r="K182">
        <v>0</v>
      </c>
      <c r="M182">
        <v>0.15</v>
      </c>
      <c r="N182" t="s">
        <v>1916</v>
      </c>
      <c r="P182">
        <v>20314</v>
      </c>
      <c r="Q182">
        <v>4.05</v>
      </c>
      <c r="R182">
        <v>0.64</v>
      </c>
      <c r="S182" t="b">
        <v>0</v>
      </c>
      <c r="T182">
        <v>3</v>
      </c>
      <c r="U182">
        <v>11</v>
      </c>
      <c r="V182" t="s">
        <v>1381</v>
      </c>
    </row>
    <row r="183" spans="1:22" x14ac:dyDescent="0.25">
      <c r="A183" t="s">
        <v>1915</v>
      </c>
      <c r="B183">
        <v>2013</v>
      </c>
      <c r="C183" t="s">
        <v>245</v>
      </c>
      <c r="D183" t="s">
        <v>125</v>
      </c>
      <c r="E183" t="s">
        <v>130</v>
      </c>
      <c r="F183" t="s">
        <v>6</v>
      </c>
      <c r="G183" t="s">
        <v>5</v>
      </c>
      <c r="H183" t="s">
        <v>85</v>
      </c>
      <c r="I183" t="s">
        <v>90</v>
      </c>
      <c r="J183" t="s">
        <v>96</v>
      </c>
      <c r="K183">
        <v>0</v>
      </c>
      <c r="M183">
        <v>0.02</v>
      </c>
      <c r="N183" t="s">
        <v>1914</v>
      </c>
      <c r="P183">
        <v>18385</v>
      </c>
      <c r="Q183">
        <v>-1.1599999999999999</v>
      </c>
      <c r="R183">
        <v>0.78</v>
      </c>
      <c r="S183" t="b">
        <v>0</v>
      </c>
      <c r="T183">
        <v>2</v>
      </c>
      <c r="U183">
        <v>9</v>
      </c>
      <c r="V183" t="s">
        <v>1381</v>
      </c>
    </row>
    <row r="184" spans="1:22" x14ac:dyDescent="0.25">
      <c r="A184" t="s">
        <v>1913</v>
      </c>
      <c r="B184">
        <v>2013</v>
      </c>
      <c r="C184" t="s">
        <v>171</v>
      </c>
      <c r="D184" t="s">
        <v>57</v>
      </c>
      <c r="E184" t="s">
        <v>7</v>
      </c>
      <c r="F184" t="s">
        <v>41</v>
      </c>
      <c r="G184" t="s">
        <v>62</v>
      </c>
      <c r="H184" t="s">
        <v>85</v>
      </c>
      <c r="I184" t="s">
        <v>14</v>
      </c>
      <c r="J184" t="s">
        <v>79</v>
      </c>
      <c r="K184">
        <v>0</v>
      </c>
      <c r="M184">
        <v>0.04</v>
      </c>
      <c r="N184" t="s">
        <v>1912</v>
      </c>
      <c r="P184">
        <v>63061</v>
      </c>
      <c r="Q184">
        <v>-3.47</v>
      </c>
      <c r="R184">
        <v>0.82</v>
      </c>
      <c r="S184" t="b">
        <v>0</v>
      </c>
      <c r="T184">
        <v>3</v>
      </c>
      <c r="U184">
        <v>11</v>
      </c>
      <c r="V184" t="s">
        <v>1381</v>
      </c>
    </row>
    <row r="185" spans="1:22" x14ac:dyDescent="0.25">
      <c r="A185" t="s">
        <v>1911</v>
      </c>
      <c r="B185">
        <v>2013</v>
      </c>
      <c r="C185" t="s">
        <v>148</v>
      </c>
      <c r="D185" t="s">
        <v>28</v>
      </c>
      <c r="E185" t="s">
        <v>219</v>
      </c>
      <c r="F185" t="s">
        <v>55</v>
      </c>
      <c r="G185" t="s">
        <v>25</v>
      </c>
      <c r="H185" t="s">
        <v>102</v>
      </c>
      <c r="I185" t="s">
        <v>90</v>
      </c>
      <c r="J185" t="s">
        <v>79</v>
      </c>
      <c r="K185">
        <v>0</v>
      </c>
      <c r="M185">
        <v>0.04</v>
      </c>
      <c r="N185" t="s">
        <v>1910</v>
      </c>
      <c r="P185">
        <v>38569</v>
      </c>
      <c r="Q185">
        <v>-3.35</v>
      </c>
      <c r="R185">
        <v>0.86</v>
      </c>
      <c r="S185" t="b">
        <v>0</v>
      </c>
      <c r="T185">
        <v>2</v>
      </c>
      <c r="U185">
        <v>4</v>
      </c>
      <c r="V185" t="s">
        <v>1381</v>
      </c>
    </row>
    <row r="186" spans="1:22" x14ac:dyDescent="0.25">
      <c r="A186" t="s">
        <v>1909</v>
      </c>
      <c r="B186">
        <v>2013</v>
      </c>
      <c r="C186" t="s">
        <v>311</v>
      </c>
      <c r="D186" t="s">
        <v>125</v>
      </c>
      <c r="E186" t="s">
        <v>7</v>
      </c>
      <c r="F186" t="s">
        <v>26</v>
      </c>
      <c r="G186" t="s">
        <v>5</v>
      </c>
      <c r="H186" t="s">
        <v>102</v>
      </c>
      <c r="I186" t="s">
        <v>90</v>
      </c>
      <c r="J186" t="s">
        <v>96</v>
      </c>
      <c r="K186">
        <v>0</v>
      </c>
      <c r="M186">
        <v>0.19</v>
      </c>
      <c r="N186" t="s">
        <v>1908</v>
      </c>
      <c r="P186">
        <v>21909</v>
      </c>
      <c r="Q186">
        <v>-2.59</v>
      </c>
      <c r="R186">
        <v>0.62</v>
      </c>
      <c r="S186" t="b">
        <v>0</v>
      </c>
      <c r="T186">
        <v>2</v>
      </c>
      <c r="U186">
        <v>7</v>
      </c>
      <c r="V186" t="s">
        <v>1381</v>
      </c>
    </row>
    <row r="187" spans="1:22" x14ac:dyDescent="0.25">
      <c r="A187" t="s">
        <v>1907</v>
      </c>
      <c r="B187">
        <v>2013</v>
      </c>
      <c r="C187" t="s">
        <v>316</v>
      </c>
      <c r="D187" t="s">
        <v>43</v>
      </c>
      <c r="E187" t="s">
        <v>147</v>
      </c>
      <c r="F187" t="s">
        <v>41</v>
      </c>
      <c r="G187" t="s">
        <v>135</v>
      </c>
      <c r="H187" t="s">
        <v>141</v>
      </c>
      <c r="I187" t="s">
        <v>40</v>
      </c>
      <c r="J187" t="s">
        <v>23</v>
      </c>
      <c r="K187">
        <v>0</v>
      </c>
      <c r="M187">
        <v>0.12</v>
      </c>
      <c r="N187" t="s">
        <v>1906</v>
      </c>
      <c r="P187">
        <v>60542</v>
      </c>
      <c r="Q187">
        <v>-1.46</v>
      </c>
      <c r="R187">
        <v>0.84</v>
      </c>
      <c r="S187" t="b">
        <v>0</v>
      </c>
      <c r="T187">
        <v>3</v>
      </c>
      <c r="U187">
        <v>1</v>
      </c>
      <c r="V187" t="s">
        <v>1381</v>
      </c>
    </row>
    <row r="188" spans="1:22" x14ac:dyDescent="0.25">
      <c r="A188" t="s">
        <v>1905</v>
      </c>
      <c r="B188">
        <v>2013</v>
      </c>
      <c r="C188" t="s">
        <v>245</v>
      </c>
      <c r="D188" t="s">
        <v>125</v>
      </c>
      <c r="E188" t="s">
        <v>121</v>
      </c>
      <c r="F188" t="s">
        <v>55</v>
      </c>
      <c r="G188" t="s">
        <v>62</v>
      </c>
      <c r="H188" t="s">
        <v>34</v>
      </c>
      <c r="I188" t="s">
        <v>68</v>
      </c>
      <c r="J188" t="s">
        <v>96</v>
      </c>
      <c r="K188">
        <v>0</v>
      </c>
      <c r="M188">
        <v>0.01</v>
      </c>
      <c r="N188" t="s">
        <v>1904</v>
      </c>
      <c r="P188">
        <v>18223</v>
      </c>
      <c r="Q188">
        <v>3.62</v>
      </c>
      <c r="R188">
        <v>0.63</v>
      </c>
      <c r="S188" t="b">
        <v>0</v>
      </c>
      <c r="T188">
        <v>1</v>
      </c>
      <c r="U188">
        <v>6</v>
      </c>
      <c r="V188" t="s">
        <v>1381</v>
      </c>
    </row>
    <row r="189" spans="1:22" x14ac:dyDescent="0.25">
      <c r="A189" t="s">
        <v>1903</v>
      </c>
      <c r="B189">
        <v>2013</v>
      </c>
      <c r="C189" t="s">
        <v>51</v>
      </c>
      <c r="D189" t="s">
        <v>18</v>
      </c>
      <c r="E189" t="s">
        <v>182</v>
      </c>
      <c r="F189" t="s">
        <v>75</v>
      </c>
      <c r="G189" t="s">
        <v>135</v>
      </c>
      <c r="H189" t="s">
        <v>102</v>
      </c>
      <c r="I189" t="s">
        <v>97</v>
      </c>
      <c r="J189" t="s">
        <v>96</v>
      </c>
      <c r="K189">
        <v>0</v>
      </c>
      <c r="M189">
        <v>0.03</v>
      </c>
      <c r="N189" t="s">
        <v>1902</v>
      </c>
      <c r="P189">
        <v>55025</v>
      </c>
      <c r="Q189">
        <v>1.8</v>
      </c>
      <c r="R189">
        <v>0.6</v>
      </c>
      <c r="S189" t="b">
        <v>0</v>
      </c>
      <c r="T189">
        <v>1</v>
      </c>
      <c r="U189">
        <v>3</v>
      </c>
      <c r="V189" t="s">
        <v>1381</v>
      </c>
    </row>
    <row r="190" spans="1:22" x14ac:dyDescent="0.25">
      <c r="A190" t="s">
        <v>1901</v>
      </c>
      <c r="B190">
        <v>2013</v>
      </c>
      <c r="C190" t="s">
        <v>152</v>
      </c>
      <c r="D190" t="s">
        <v>28</v>
      </c>
      <c r="E190" t="s">
        <v>116</v>
      </c>
      <c r="F190" t="s">
        <v>75</v>
      </c>
      <c r="G190" t="s">
        <v>62</v>
      </c>
      <c r="H190" t="s">
        <v>61</v>
      </c>
      <c r="I190" t="s">
        <v>3</v>
      </c>
      <c r="J190" t="s">
        <v>2</v>
      </c>
      <c r="K190">
        <v>0</v>
      </c>
      <c r="M190">
        <v>0.06</v>
      </c>
      <c r="N190" t="s">
        <v>1900</v>
      </c>
      <c r="P190">
        <v>34027</v>
      </c>
      <c r="Q190">
        <v>-2.23</v>
      </c>
      <c r="R190">
        <v>0.63</v>
      </c>
      <c r="S190" t="b">
        <v>0</v>
      </c>
      <c r="T190">
        <v>1</v>
      </c>
      <c r="U190">
        <v>15</v>
      </c>
      <c r="V190" t="s">
        <v>1381</v>
      </c>
    </row>
    <row r="191" spans="1:22" x14ac:dyDescent="0.25">
      <c r="A191" t="s">
        <v>1899</v>
      </c>
      <c r="B191">
        <v>2013</v>
      </c>
      <c r="C191" t="s">
        <v>81</v>
      </c>
      <c r="D191" t="s">
        <v>28</v>
      </c>
      <c r="E191" t="s">
        <v>182</v>
      </c>
      <c r="F191" t="s">
        <v>115</v>
      </c>
      <c r="G191" t="s">
        <v>25</v>
      </c>
      <c r="H191" t="s">
        <v>15</v>
      </c>
      <c r="I191" t="s">
        <v>74</v>
      </c>
      <c r="J191" t="s">
        <v>79</v>
      </c>
      <c r="K191">
        <v>0</v>
      </c>
      <c r="M191">
        <v>0.06</v>
      </c>
      <c r="N191" t="s">
        <v>1898</v>
      </c>
      <c r="P191">
        <v>40916</v>
      </c>
      <c r="Q191">
        <v>2.41</v>
      </c>
      <c r="R191">
        <v>0.64</v>
      </c>
      <c r="S191" t="b">
        <v>0</v>
      </c>
      <c r="T191">
        <v>1</v>
      </c>
      <c r="U191">
        <v>8</v>
      </c>
      <c r="V191" t="s">
        <v>1381</v>
      </c>
    </row>
    <row r="192" spans="1:22" x14ac:dyDescent="0.25">
      <c r="A192" t="s">
        <v>1897</v>
      </c>
      <c r="B192">
        <v>2013</v>
      </c>
      <c r="C192" t="s">
        <v>167</v>
      </c>
      <c r="D192" t="s">
        <v>43</v>
      </c>
      <c r="E192" t="s">
        <v>56</v>
      </c>
      <c r="F192" t="s">
        <v>112</v>
      </c>
      <c r="G192" t="s">
        <v>25</v>
      </c>
      <c r="H192" t="s">
        <v>49</v>
      </c>
      <c r="I192" t="s">
        <v>90</v>
      </c>
      <c r="J192" t="s">
        <v>23</v>
      </c>
      <c r="K192">
        <v>0</v>
      </c>
      <c r="M192">
        <v>0.16</v>
      </c>
      <c r="N192" t="s">
        <v>1896</v>
      </c>
      <c r="P192">
        <v>72609</v>
      </c>
      <c r="Q192">
        <v>3.8</v>
      </c>
      <c r="R192">
        <v>0.86</v>
      </c>
      <c r="S192" t="b">
        <v>0</v>
      </c>
      <c r="T192">
        <v>3</v>
      </c>
      <c r="U192">
        <v>12</v>
      </c>
      <c r="V192" t="s">
        <v>1381</v>
      </c>
    </row>
    <row r="193" spans="1:22" x14ac:dyDescent="0.25">
      <c r="A193" t="s">
        <v>1895</v>
      </c>
      <c r="B193">
        <v>2013</v>
      </c>
      <c r="C193" t="s">
        <v>183</v>
      </c>
      <c r="D193" t="s">
        <v>131</v>
      </c>
      <c r="E193" t="s">
        <v>17</v>
      </c>
      <c r="F193" t="s">
        <v>69</v>
      </c>
      <c r="G193" t="s">
        <v>135</v>
      </c>
      <c r="H193" t="s">
        <v>141</v>
      </c>
      <c r="I193" t="s">
        <v>40</v>
      </c>
      <c r="J193" t="s">
        <v>96</v>
      </c>
      <c r="K193">
        <v>0</v>
      </c>
      <c r="M193">
        <v>0.14000000000000001</v>
      </c>
      <c r="N193" t="s">
        <v>1894</v>
      </c>
      <c r="P193">
        <v>30856</v>
      </c>
      <c r="Q193">
        <v>-1.77</v>
      </c>
      <c r="R193">
        <v>0.79</v>
      </c>
      <c r="S193" t="b">
        <v>0</v>
      </c>
      <c r="T193">
        <v>1</v>
      </c>
      <c r="U193">
        <v>3</v>
      </c>
      <c r="V193" t="s">
        <v>1381</v>
      </c>
    </row>
    <row r="194" spans="1:22" x14ac:dyDescent="0.25">
      <c r="A194" t="s">
        <v>1893</v>
      </c>
      <c r="B194">
        <v>2013</v>
      </c>
      <c r="C194" t="s">
        <v>70</v>
      </c>
      <c r="D194" t="s">
        <v>18</v>
      </c>
      <c r="E194" t="s">
        <v>86</v>
      </c>
      <c r="F194" t="s">
        <v>6</v>
      </c>
      <c r="G194" t="s">
        <v>25</v>
      </c>
      <c r="H194" t="s">
        <v>34</v>
      </c>
      <c r="I194" t="s">
        <v>14</v>
      </c>
      <c r="J194" t="s">
        <v>96</v>
      </c>
      <c r="K194">
        <v>0</v>
      </c>
      <c r="M194">
        <v>0.13</v>
      </c>
      <c r="N194" t="s">
        <v>1892</v>
      </c>
      <c r="P194">
        <v>62327</v>
      </c>
      <c r="Q194">
        <v>-4.46</v>
      </c>
      <c r="R194">
        <v>0.76</v>
      </c>
      <c r="S194" t="b">
        <v>0</v>
      </c>
      <c r="T194">
        <v>3</v>
      </c>
      <c r="U194">
        <v>18</v>
      </c>
      <c r="V194" t="s">
        <v>1381</v>
      </c>
    </row>
    <row r="195" spans="1:22" x14ac:dyDescent="0.25">
      <c r="A195" t="s">
        <v>1891</v>
      </c>
      <c r="B195">
        <v>2013</v>
      </c>
      <c r="C195" t="s">
        <v>9</v>
      </c>
      <c r="D195" t="s">
        <v>8</v>
      </c>
      <c r="E195" t="s">
        <v>116</v>
      </c>
      <c r="F195" t="s">
        <v>124</v>
      </c>
      <c r="G195" t="s">
        <v>135</v>
      </c>
      <c r="H195" t="s">
        <v>85</v>
      </c>
      <c r="I195" t="s">
        <v>3</v>
      </c>
      <c r="J195" t="s">
        <v>2</v>
      </c>
      <c r="K195">
        <v>0</v>
      </c>
      <c r="M195">
        <v>0.02</v>
      </c>
      <c r="N195" t="s">
        <v>1890</v>
      </c>
      <c r="P195">
        <v>24797</v>
      </c>
      <c r="Q195">
        <v>0.6</v>
      </c>
      <c r="R195">
        <v>0.63</v>
      </c>
      <c r="S195" t="b">
        <v>0</v>
      </c>
      <c r="T195">
        <v>3</v>
      </c>
      <c r="U195">
        <v>10</v>
      </c>
      <c r="V195" t="s">
        <v>1381</v>
      </c>
    </row>
    <row r="196" spans="1:22" x14ac:dyDescent="0.25">
      <c r="A196" t="s">
        <v>1889</v>
      </c>
      <c r="B196">
        <v>2013</v>
      </c>
      <c r="C196" t="s">
        <v>148</v>
      </c>
      <c r="D196" t="s">
        <v>28</v>
      </c>
      <c r="E196" t="s">
        <v>42</v>
      </c>
      <c r="F196" t="s">
        <v>55</v>
      </c>
      <c r="G196" t="s">
        <v>62</v>
      </c>
      <c r="H196" t="s">
        <v>61</v>
      </c>
      <c r="I196" t="s">
        <v>74</v>
      </c>
      <c r="J196" t="s">
        <v>79</v>
      </c>
      <c r="K196">
        <v>0</v>
      </c>
      <c r="M196">
        <v>0.13</v>
      </c>
      <c r="N196" t="s">
        <v>1888</v>
      </c>
      <c r="P196">
        <v>33463</v>
      </c>
      <c r="Q196">
        <v>3.17</v>
      </c>
      <c r="R196">
        <v>0.87</v>
      </c>
      <c r="S196" t="b">
        <v>0</v>
      </c>
      <c r="T196">
        <v>2</v>
      </c>
      <c r="U196">
        <v>9</v>
      </c>
      <c r="V196" t="s">
        <v>1381</v>
      </c>
    </row>
    <row r="197" spans="1:22" x14ac:dyDescent="0.25">
      <c r="A197" t="s">
        <v>1887</v>
      </c>
      <c r="B197">
        <v>2013</v>
      </c>
      <c r="C197" t="s">
        <v>176</v>
      </c>
      <c r="D197" t="s">
        <v>64</v>
      </c>
      <c r="E197" t="s">
        <v>36</v>
      </c>
      <c r="F197" t="s">
        <v>63</v>
      </c>
      <c r="G197" t="s">
        <v>16</v>
      </c>
      <c r="H197" t="s">
        <v>85</v>
      </c>
      <c r="I197" t="s">
        <v>3</v>
      </c>
      <c r="J197" t="s">
        <v>2</v>
      </c>
      <c r="K197">
        <v>0</v>
      </c>
      <c r="M197">
        <v>0.17</v>
      </c>
      <c r="N197" t="s">
        <v>1352</v>
      </c>
      <c r="P197">
        <v>75063</v>
      </c>
      <c r="Q197">
        <v>-4.08</v>
      </c>
      <c r="R197">
        <v>0.62</v>
      </c>
      <c r="S197" t="b">
        <v>0</v>
      </c>
      <c r="T197">
        <v>3</v>
      </c>
      <c r="U197">
        <v>2</v>
      </c>
      <c r="V197" t="s">
        <v>1381</v>
      </c>
    </row>
    <row r="198" spans="1:22" x14ac:dyDescent="0.25">
      <c r="A198" t="s">
        <v>1886</v>
      </c>
      <c r="B198">
        <v>2013</v>
      </c>
      <c r="C198" t="s">
        <v>92</v>
      </c>
      <c r="D198" t="s">
        <v>91</v>
      </c>
      <c r="E198" t="s">
        <v>7</v>
      </c>
      <c r="F198" t="s">
        <v>124</v>
      </c>
      <c r="G198" t="s">
        <v>25</v>
      </c>
      <c r="H198" t="s">
        <v>49</v>
      </c>
      <c r="I198" t="s">
        <v>74</v>
      </c>
      <c r="J198" t="s">
        <v>23</v>
      </c>
      <c r="K198">
        <v>1</v>
      </c>
      <c r="L198" t="s">
        <v>208</v>
      </c>
      <c r="M198">
        <v>0.42</v>
      </c>
      <c r="N198" t="s">
        <v>1885</v>
      </c>
      <c r="O198" t="s">
        <v>208</v>
      </c>
      <c r="P198">
        <v>68186</v>
      </c>
      <c r="Q198">
        <v>2.46</v>
      </c>
      <c r="R198">
        <v>0.18</v>
      </c>
      <c r="S198" t="b">
        <v>1</v>
      </c>
      <c r="T198">
        <v>3</v>
      </c>
      <c r="U198">
        <v>0</v>
      </c>
      <c r="V198" t="s">
        <v>1381</v>
      </c>
    </row>
    <row r="199" spans="1:22" x14ac:dyDescent="0.25">
      <c r="A199" t="s">
        <v>1884</v>
      </c>
      <c r="B199">
        <v>2013</v>
      </c>
      <c r="C199" t="s">
        <v>81</v>
      </c>
      <c r="D199" t="s">
        <v>28</v>
      </c>
      <c r="E199" t="s">
        <v>27</v>
      </c>
      <c r="F199" t="s">
        <v>108</v>
      </c>
      <c r="G199" t="s">
        <v>62</v>
      </c>
      <c r="H199" t="s">
        <v>34</v>
      </c>
      <c r="I199" t="s">
        <v>33</v>
      </c>
      <c r="J199" t="s">
        <v>23</v>
      </c>
      <c r="K199">
        <v>0</v>
      </c>
      <c r="M199">
        <v>0.16</v>
      </c>
      <c r="N199" t="s">
        <v>1883</v>
      </c>
      <c r="P199">
        <v>40065</v>
      </c>
      <c r="Q199">
        <v>-3.33</v>
      </c>
      <c r="R199">
        <v>0.69</v>
      </c>
      <c r="S199" t="b">
        <v>0</v>
      </c>
      <c r="T199">
        <v>3</v>
      </c>
      <c r="U199">
        <v>12</v>
      </c>
      <c r="V199" t="s">
        <v>1381</v>
      </c>
    </row>
    <row r="200" spans="1:22" x14ac:dyDescent="0.25">
      <c r="A200" t="s">
        <v>1882</v>
      </c>
      <c r="B200">
        <v>2013</v>
      </c>
      <c r="C200" t="s">
        <v>137</v>
      </c>
      <c r="D200" t="s">
        <v>43</v>
      </c>
      <c r="E200" t="s">
        <v>130</v>
      </c>
      <c r="F200" t="s">
        <v>124</v>
      </c>
      <c r="G200" t="s">
        <v>135</v>
      </c>
      <c r="H200" t="s">
        <v>102</v>
      </c>
      <c r="I200" t="s">
        <v>74</v>
      </c>
      <c r="J200" t="s">
        <v>23</v>
      </c>
      <c r="K200">
        <v>0</v>
      </c>
      <c r="M200">
        <v>0.16</v>
      </c>
      <c r="N200" t="s">
        <v>1881</v>
      </c>
      <c r="P200">
        <v>57767</v>
      </c>
      <c r="Q200">
        <v>4.3600000000000003</v>
      </c>
      <c r="R200">
        <v>0.69</v>
      </c>
      <c r="S200" t="b">
        <v>0</v>
      </c>
      <c r="T200">
        <v>3</v>
      </c>
      <c r="U200">
        <v>12</v>
      </c>
      <c r="V200" t="s">
        <v>1381</v>
      </c>
    </row>
    <row r="201" spans="1:22" x14ac:dyDescent="0.25">
      <c r="A201" t="s">
        <v>1880</v>
      </c>
      <c r="B201">
        <v>2013</v>
      </c>
      <c r="C201" t="s">
        <v>137</v>
      </c>
      <c r="D201" t="s">
        <v>43</v>
      </c>
      <c r="E201" t="s">
        <v>182</v>
      </c>
      <c r="F201" t="s">
        <v>41</v>
      </c>
      <c r="G201" t="s">
        <v>5</v>
      </c>
      <c r="H201" t="s">
        <v>179</v>
      </c>
      <c r="I201" t="s">
        <v>33</v>
      </c>
      <c r="J201" t="s">
        <v>73</v>
      </c>
      <c r="K201">
        <v>0</v>
      </c>
      <c r="M201">
        <v>0.19</v>
      </c>
      <c r="N201" t="s">
        <v>1879</v>
      </c>
      <c r="P201">
        <v>69200</v>
      </c>
      <c r="Q201">
        <v>-1.68</v>
      </c>
      <c r="R201">
        <v>0.79</v>
      </c>
      <c r="S201" t="b">
        <v>0</v>
      </c>
      <c r="T201">
        <v>3</v>
      </c>
      <c r="U201">
        <v>7</v>
      </c>
      <c r="V201" t="s">
        <v>1381</v>
      </c>
    </row>
    <row r="202" spans="1:22" x14ac:dyDescent="0.25">
      <c r="A202" t="s">
        <v>1878</v>
      </c>
      <c r="B202">
        <v>2013</v>
      </c>
      <c r="C202" t="s">
        <v>316</v>
      </c>
      <c r="D202" t="s">
        <v>43</v>
      </c>
      <c r="E202" t="s">
        <v>56</v>
      </c>
      <c r="F202" t="s">
        <v>156</v>
      </c>
      <c r="G202" t="s">
        <v>16</v>
      </c>
      <c r="H202" t="s">
        <v>61</v>
      </c>
      <c r="I202" t="s">
        <v>74</v>
      </c>
      <c r="J202" t="s">
        <v>23</v>
      </c>
      <c r="K202">
        <v>0</v>
      </c>
      <c r="M202">
        <v>0.19</v>
      </c>
      <c r="N202" t="s">
        <v>1877</v>
      </c>
      <c r="P202">
        <v>73299</v>
      </c>
      <c r="Q202">
        <v>2.66</v>
      </c>
      <c r="R202">
        <v>0.67</v>
      </c>
      <c r="S202" t="b">
        <v>0</v>
      </c>
      <c r="T202">
        <v>3</v>
      </c>
      <c r="U202">
        <v>10</v>
      </c>
      <c r="V202" t="s">
        <v>1381</v>
      </c>
    </row>
    <row r="203" spans="1:22" x14ac:dyDescent="0.25">
      <c r="A203" t="s">
        <v>1876</v>
      </c>
      <c r="B203">
        <v>2013</v>
      </c>
      <c r="C203" t="s">
        <v>281</v>
      </c>
      <c r="D203" t="s">
        <v>91</v>
      </c>
      <c r="E203" t="s">
        <v>42</v>
      </c>
      <c r="F203" t="s">
        <v>35</v>
      </c>
      <c r="G203" t="s">
        <v>25</v>
      </c>
      <c r="H203" t="s">
        <v>85</v>
      </c>
      <c r="I203" t="s">
        <v>68</v>
      </c>
      <c r="J203" t="s">
        <v>96</v>
      </c>
      <c r="K203">
        <v>0</v>
      </c>
      <c r="M203">
        <v>0.17</v>
      </c>
      <c r="N203" t="s">
        <v>1875</v>
      </c>
      <c r="P203">
        <v>54418</v>
      </c>
      <c r="Q203">
        <v>2.04</v>
      </c>
      <c r="R203">
        <v>0.71</v>
      </c>
      <c r="S203" t="b">
        <v>0</v>
      </c>
      <c r="T203">
        <v>2</v>
      </c>
      <c r="U203">
        <v>9</v>
      </c>
      <c r="V203" t="s">
        <v>1381</v>
      </c>
    </row>
    <row r="204" spans="1:22" x14ac:dyDescent="0.25">
      <c r="A204" t="s">
        <v>1874</v>
      </c>
      <c r="B204">
        <v>2013</v>
      </c>
      <c r="C204" t="s">
        <v>92</v>
      </c>
      <c r="D204" t="s">
        <v>91</v>
      </c>
      <c r="E204" t="s">
        <v>56</v>
      </c>
      <c r="F204" t="s">
        <v>156</v>
      </c>
      <c r="G204" t="s">
        <v>135</v>
      </c>
      <c r="H204" t="s">
        <v>61</v>
      </c>
      <c r="I204" t="s">
        <v>14</v>
      </c>
      <c r="J204" t="s">
        <v>73</v>
      </c>
      <c r="K204">
        <v>0</v>
      </c>
      <c r="M204">
        <v>0.02</v>
      </c>
      <c r="N204" t="s">
        <v>1873</v>
      </c>
      <c r="P204">
        <v>61459</v>
      </c>
      <c r="Q204">
        <v>-3.24</v>
      </c>
      <c r="R204">
        <v>0.82</v>
      </c>
      <c r="S204" t="b">
        <v>0</v>
      </c>
      <c r="T204">
        <v>2</v>
      </c>
      <c r="U204">
        <v>12</v>
      </c>
      <c r="V204" t="s">
        <v>1381</v>
      </c>
    </row>
    <row r="205" spans="1:22" x14ac:dyDescent="0.25">
      <c r="A205" t="s">
        <v>1872</v>
      </c>
      <c r="B205">
        <v>2013</v>
      </c>
      <c r="C205" t="s">
        <v>9</v>
      </c>
      <c r="D205" t="s">
        <v>8</v>
      </c>
      <c r="E205" t="s">
        <v>56</v>
      </c>
      <c r="F205" t="s">
        <v>6</v>
      </c>
      <c r="G205" t="s">
        <v>16</v>
      </c>
      <c r="H205" t="s">
        <v>61</v>
      </c>
      <c r="I205" t="s">
        <v>24</v>
      </c>
      <c r="J205" t="s">
        <v>23</v>
      </c>
      <c r="K205">
        <v>0</v>
      </c>
      <c r="M205">
        <v>0.1</v>
      </c>
      <c r="N205" t="s">
        <v>1871</v>
      </c>
      <c r="P205">
        <v>24758</v>
      </c>
      <c r="Q205">
        <v>2.91</v>
      </c>
      <c r="R205">
        <v>0.65</v>
      </c>
      <c r="S205" t="b">
        <v>0</v>
      </c>
      <c r="T205">
        <v>3</v>
      </c>
      <c r="U205">
        <v>17</v>
      </c>
      <c r="V205" t="s">
        <v>1381</v>
      </c>
    </row>
    <row r="206" spans="1:22" x14ac:dyDescent="0.25">
      <c r="A206" t="s">
        <v>1870</v>
      </c>
      <c r="B206">
        <v>2013</v>
      </c>
      <c r="C206" t="s">
        <v>281</v>
      </c>
      <c r="D206" t="s">
        <v>91</v>
      </c>
      <c r="E206" t="s">
        <v>50</v>
      </c>
      <c r="F206" t="s">
        <v>124</v>
      </c>
      <c r="G206" t="s">
        <v>16</v>
      </c>
      <c r="H206" t="s">
        <v>102</v>
      </c>
      <c r="I206" t="s">
        <v>68</v>
      </c>
      <c r="J206" t="s">
        <v>96</v>
      </c>
      <c r="K206">
        <v>1</v>
      </c>
      <c r="L206" t="s">
        <v>1868</v>
      </c>
      <c r="M206">
        <v>0.48</v>
      </c>
      <c r="N206" t="s">
        <v>1869</v>
      </c>
      <c r="O206" t="s">
        <v>1868</v>
      </c>
      <c r="P206">
        <v>85734</v>
      </c>
      <c r="Q206">
        <v>-4.76</v>
      </c>
      <c r="R206">
        <v>0.23</v>
      </c>
      <c r="S206" t="b">
        <v>1</v>
      </c>
      <c r="T206">
        <v>2</v>
      </c>
      <c r="U206">
        <v>11</v>
      </c>
      <c r="V206" t="s">
        <v>1381</v>
      </c>
    </row>
    <row r="207" spans="1:22" x14ac:dyDescent="0.25">
      <c r="A207" t="s">
        <v>1867</v>
      </c>
      <c r="B207">
        <v>2013</v>
      </c>
      <c r="C207" t="s">
        <v>161</v>
      </c>
      <c r="D207" t="s">
        <v>8</v>
      </c>
      <c r="E207" t="s">
        <v>147</v>
      </c>
      <c r="F207" t="s">
        <v>26</v>
      </c>
      <c r="G207" t="s">
        <v>5</v>
      </c>
      <c r="H207" t="s">
        <v>49</v>
      </c>
      <c r="I207" t="s">
        <v>74</v>
      </c>
      <c r="J207" t="s">
        <v>2</v>
      </c>
      <c r="K207">
        <v>0</v>
      </c>
      <c r="M207">
        <v>0.17</v>
      </c>
      <c r="N207" t="s">
        <v>1866</v>
      </c>
      <c r="P207">
        <v>18727</v>
      </c>
      <c r="Q207">
        <v>-1.35</v>
      </c>
      <c r="R207">
        <v>0.62</v>
      </c>
      <c r="S207" t="b">
        <v>0</v>
      </c>
      <c r="T207">
        <v>2</v>
      </c>
      <c r="U207">
        <v>0</v>
      </c>
      <c r="V207" t="s">
        <v>1381</v>
      </c>
    </row>
    <row r="208" spans="1:22" x14ac:dyDescent="0.25">
      <c r="A208" t="s">
        <v>1865</v>
      </c>
      <c r="B208">
        <v>2013</v>
      </c>
      <c r="C208" t="s">
        <v>348</v>
      </c>
      <c r="D208" t="s">
        <v>64</v>
      </c>
      <c r="E208" t="s">
        <v>147</v>
      </c>
      <c r="F208" t="s">
        <v>136</v>
      </c>
      <c r="G208" t="s">
        <v>5</v>
      </c>
      <c r="H208" t="s">
        <v>49</v>
      </c>
      <c r="I208" t="s">
        <v>68</v>
      </c>
      <c r="J208" t="s">
        <v>79</v>
      </c>
      <c r="K208">
        <v>0</v>
      </c>
      <c r="M208">
        <v>0.02</v>
      </c>
      <c r="N208" t="s">
        <v>1864</v>
      </c>
      <c r="P208">
        <v>68101</v>
      </c>
      <c r="Q208">
        <v>-2.38</v>
      </c>
      <c r="R208">
        <v>0.65</v>
      </c>
      <c r="S208" t="b">
        <v>0</v>
      </c>
      <c r="T208">
        <v>1</v>
      </c>
      <c r="U208">
        <v>15</v>
      </c>
      <c r="V208" t="s">
        <v>1381</v>
      </c>
    </row>
    <row r="209" spans="1:22" x14ac:dyDescent="0.25">
      <c r="A209" t="s">
        <v>1863</v>
      </c>
      <c r="B209">
        <v>2013</v>
      </c>
      <c r="C209" t="s">
        <v>220</v>
      </c>
      <c r="D209" t="s">
        <v>91</v>
      </c>
      <c r="E209" t="s">
        <v>17</v>
      </c>
      <c r="F209" t="s">
        <v>41</v>
      </c>
      <c r="G209" t="s">
        <v>5</v>
      </c>
      <c r="H209" t="s">
        <v>61</v>
      </c>
      <c r="I209" t="s">
        <v>3</v>
      </c>
      <c r="J209" t="s">
        <v>23</v>
      </c>
      <c r="K209">
        <v>0</v>
      </c>
      <c r="M209">
        <v>7.0000000000000007E-2</v>
      </c>
      <c r="N209" t="s">
        <v>1862</v>
      </c>
      <c r="P209">
        <v>61005</v>
      </c>
      <c r="Q209">
        <v>3.19</v>
      </c>
      <c r="R209">
        <v>0.73</v>
      </c>
      <c r="S209" t="b">
        <v>0</v>
      </c>
      <c r="T209">
        <v>2</v>
      </c>
      <c r="U209">
        <v>5</v>
      </c>
      <c r="V209" t="s">
        <v>1381</v>
      </c>
    </row>
    <row r="210" spans="1:22" x14ac:dyDescent="0.25">
      <c r="A210" t="s">
        <v>1861</v>
      </c>
      <c r="B210">
        <v>2013</v>
      </c>
      <c r="C210" t="s">
        <v>58</v>
      </c>
      <c r="D210" t="s">
        <v>57</v>
      </c>
      <c r="E210" t="s">
        <v>36</v>
      </c>
      <c r="F210" t="s">
        <v>112</v>
      </c>
      <c r="G210" t="s">
        <v>62</v>
      </c>
      <c r="H210" t="s">
        <v>141</v>
      </c>
      <c r="I210" t="s">
        <v>107</v>
      </c>
      <c r="J210" t="s">
        <v>73</v>
      </c>
      <c r="K210">
        <v>0</v>
      </c>
      <c r="M210">
        <v>0.19</v>
      </c>
      <c r="N210" t="s">
        <v>1860</v>
      </c>
      <c r="P210">
        <v>77384</v>
      </c>
      <c r="Q210">
        <v>1.71</v>
      </c>
      <c r="R210">
        <v>0.77</v>
      </c>
      <c r="S210" t="b">
        <v>0</v>
      </c>
      <c r="T210">
        <v>1</v>
      </c>
      <c r="U210">
        <v>8</v>
      </c>
      <c r="V210" t="s">
        <v>1381</v>
      </c>
    </row>
    <row r="211" spans="1:22" x14ac:dyDescent="0.25">
      <c r="A211" t="s">
        <v>1859</v>
      </c>
      <c r="B211">
        <v>2013</v>
      </c>
      <c r="C211" t="s">
        <v>51</v>
      </c>
      <c r="D211" t="s">
        <v>18</v>
      </c>
      <c r="E211" t="s">
        <v>42</v>
      </c>
      <c r="F211" t="s">
        <v>26</v>
      </c>
      <c r="G211" t="s">
        <v>135</v>
      </c>
      <c r="H211" t="s">
        <v>15</v>
      </c>
      <c r="I211" t="s">
        <v>3</v>
      </c>
      <c r="J211" t="s">
        <v>2</v>
      </c>
      <c r="K211">
        <v>0</v>
      </c>
      <c r="M211">
        <v>0.12</v>
      </c>
      <c r="N211" t="s">
        <v>1858</v>
      </c>
      <c r="P211">
        <v>55209</v>
      </c>
      <c r="Q211">
        <v>-4.79</v>
      </c>
      <c r="R211">
        <v>0.61</v>
      </c>
      <c r="S211" t="b">
        <v>0</v>
      </c>
      <c r="T211">
        <v>1</v>
      </c>
      <c r="U211">
        <v>15</v>
      </c>
      <c r="V211" t="s">
        <v>1381</v>
      </c>
    </row>
    <row r="212" spans="1:22" x14ac:dyDescent="0.25">
      <c r="A212" t="s">
        <v>1857</v>
      </c>
      <c r="B212">
        <v>2013</v>
      </c>
      <c r="C212" t="s">
        <v>176</v>
      </c>
      <c r="D212" t="s">
        <v>64</v>
      </c>
      <c r="E212" t="s">
        <v>116</v>
      </c>
      <c r="F212" t="s">
        <v>80</v>
      </c>
      <c r="G212" t="s">
        <v>5</v>
      </c>
      <c r="H212" t="s">
        <v>179</v>
      </c>
      <c r="I212" t="s">
        <v>3</v>
      </c>
      <c r="J212" t="s">
        <v>13</v>
      </c>
      <c r="K212">
        <v>0</v>
      </c>
      <c r="M212">
        <v>0.02</v>
      </c>
      <c r="N212" t="s">
        <v>1592</v>
      </c>
      <c r="P212">
        <v>81429</v>
      </c>
      <c r="Q212">
        <v>3.12</v>
      </c>
      <c r="R212">
        <v>0.84</v>
      </c>
      <c r="S212" t="b">
        <v>0</v>
      </c>
      <c r="T212">
        <v>2</v>
      </c>
      <c r="U212">
        <v>10</v>
      </c>
      <c r="V212" t="s">
        <v>1381</v>
      </c>
    </row>
    <row r="213" spans="1:22" x14ac:dyDescent="0.25">
      <c r="A213" t="s">
        <v>1856</v>
      </c>
      <c r="B213">
        <v>2013</v>
      </c>
      <c r="C213" t="s">
        <v>92</v>
      </c>
      <c r="D213" t="s">
        <v>91</v>
      </c>
      <c r="E213" t="s">
        <v>50</v>
      </c>
      <c r="F213" t="s">
        <v>75</v>
      </c>
      <c r="G213" t="s">
        <v>25</v>
      </c>
      <c r="H213" t="s">
        <v>4</v>
      </c>
      <c r="I213" t="s">
        <v>74</v>
      </c>
      <c r="J213" t="s">
        <v>2</v>
      </c>
      <c r="K213">
        <v>0</v>
      </c>
      <c r="M213">
        <v>0.12</v>
      </c>
      <c r="N213" t="s">
        <v>1855</v>
      </c>
      <c r="P213">
        <v>58409</v>
      </c>
      <c r="Q213">
        <v>3.53</v>
      </c>
      <c r="R213">
        <v>0.81</v>
      </c>
      <c r="S213" t="b">
        <v>0</v>
      </c>
      <c r="T213">
        <v>2</v>
      </c>
      <c r="U213">
        <v>10</v>
      </c>
      <c r="V213" t="s">
        <v>1381</v>
      </c>
    </row>
    <row r="214" spans="1:22" x14ac:dyDescent="0.25">
      <c r="A214" t="s">
        <v>1854</v>
      </c>
      <c r="B214">
        <v>2013</v>
      </c>
      <c r="C214" t="s">
        <v>167</v>
      </c>
      <c r="D214" t="s">
        <v>43</v>
      </c>
      <c r="E214" t="s">
        <v>36</v>
      </c>
      <c r="F214" t="s">
        <v>136</v>
      </c>
      <c r="G214" t="s">
        <v>62</v>
      </c>
      <c r="H214" t="s">
        <v>49</v>
      </c>
      <c r="I214" t="s">
        <v>107</v>
      </c>
      <c r="J214" t="s">
        <v>79</v>
      </c>
      <c r="K214">
        <v>0</v>
      </c>
      <c r="M214">
        <v>7.0000000000000007E-2</v>
      </c>
      <c r="N214" t="s">
        <v>1853</v>
      </c>
      <c r="P214">
        <v>65216</v>
      </c>
      <c r="Q214">
        <v>-1.49</v>
      </c>
      <c r="R214">
        <v>0.76</v>
      </c>
      <c r="S214" t="b">
        <v>0</v>
      </c>
      <c r="T214">
        <v>3</v>
      </c>
      <c r="U214">
        <v>19</v>
      </c>
      <c r="V214" t="s">
        <v>1381</v>
      </c>
    </row>
    <row r="215" spans="1:22" x14ac:dyDescent="0.25">
      <c r="A215" t="s">
        <v>1852</v>
      </c>
      <c r="B215">
        <v>2013</v>
      </c>
      <c r="C215" t="s">
        <v>233</v>
      </c>
      <c r="D215" t="s">
        <v>125</v>
      </c>
      <c r="E215" t="s">
        <v>147</v>
      </c>
      <c r="F215" t="s">
        <v>108</v>
      </c>
      <c r="G215" t="s">
        <v>5</v>
      </c>
      <c r="H215" t="s">
        <v>15</v>
      </c>
      <c r="I215" t="s">
        <v>97</v>
      </c>
      <c r="J215" t="s">
        <v>13</v>
      </c>
      <c r="K215">
        <v>0</v>
      </c>
      <c r="M215">
        <v>0.05</v>
      </c>
      <c r="N215" t="s">
        <v>1851</v>
      </c>
      <c r="P215">
        <v>21219</v>
      </c>
      <c r="Q215">
        <v>4.17</v>
      </c>
      <c r="R215">
        <v>0.84</v>
      </c>
      <c r="S215" t="b">
        <v>0</v>
      </c>
      <c r="T215">
        <v>1</v>
      </c>
      <c r="U215">
        <v>2</v>
      </c>
      <c r="V215" t="s">
        <v>1381</v>
      </c>
    </row>
    <row r="216" spans="1:22" x14ac:dyDescent="0.25">
      <c r="A216" t="s">
        <v>1850</v>
      </c>
      <c r="B216">
        <v>2013</v>
      </c>
      <c r="C216" t="s">
        <v>348</v>
      </c>
      <c r="D216" t="s">
        <v>64</v>
      </c>
      <c r="E216" t="s">
        <v>147</v>
      </c>
      <c r="F216" t="s">
        <v>35</v>
      </c>
      <c r="G216" t="s">
        <v>16</v>
      </c>
      <c r="H216" t="s">
        <v>34</v>
      </c>
      <c r="I216" t="s">
        <v>14</v>
      </c>
      <c r="J216" t="s">
        <v>79</v>
      </c>
      <c r="K216">
        <v>0</v>
      </c>
      <c r="M216">
        <v>0.18</v>
      </c>
      <c r="N216" t="s">
        <v>1849</v>
      </c>
      <c r="P216">
        <v>73085</v>
      </c>
      <c r="Q216">
        <v>-0.92</v>
      </c>
      <c r="R216">
        <v>0.76</v>
      </c>
      <c r="S216" t="b">
        <v>0</v>
      </c>
      <c r="T216">
        <v>3</v>
      </c>
      <c r="U216">
        <v>17</v>
      </c>
      <c r="V216" t="s">
        <v>1381</v>
      </c>
    </row>
    <row r="217" spans="1:22" x14ac:dyDescent="0.25">
      <c r="A217" t="s">
        <v>1848</v>
      </c>
      <c r="B217">
        <v>2013</v>
      </c>
      <c r="C217" t="s">
        <v>220</v>
      </c>
      <c r="D217" t="s">
        <v>91</v>
      </c>
      <c r="E217" t="s">
        <v>50</v>
      </c>
      <c r="F217" t="s">
        <v>6</v>
      </c>
      <c r="G217" t="s">
        <v>62</v>
      </c>
      <c r="H217" t="s">
        <v>102</v>
      </c>
      <c r="I217" t="s">
        <v>14</v>
      </c>
      <c r="J217" t="s">
        <v>2</v>
      </c>
      <c r="K217">
        <v>0</v>
      </c>
      <c r="M217">
        <v>0.14000000000000001</v>
      </c>
      <c r="N217" t="s">
        <v>1847</v>
      </c>
      <c r="P217">
        <v>56492</v>
      </c>
      <c r="Q217">
        <v>-2.2000000000000002</v>
      </c>
      <c r="R217">
        <v>0.66</v>
      </c>
      <c r="S217" t="b">
        <v>0</v>
      </c>
      <c r="T217">
        <v>1</v>
      </c>
      <c r="U217">
        <v>14</v>
      </c>
      <c r="V217" t="s">
        <v>1381</v>
      </c>
    </row>
    <row r="218" spans="1:22" x14ac:dyDescent="0.25">
      <c r="A218" t="s">
        <v>1846</v>
      </c>
      <c r="B218">
        <v>2013</v>
      </c>
      <c r="C218" t="s">
        <v>176</v>
      </c>
      <c r="D218" t="s">
        <v>64</v>
      </c>
      <c r="E218" t="s">
        <v>121</v>
      </c>
      <c r="F218" t="s">
        <v>156</v>
      </c>
      <c r="G218" t="s">
        <v>62</v>
      </c>
      <c r="H218" t="s">
        <v>61</v>
      </c>
      <c r="I218" t="s">
        <v>74</v>
      </c>
      <c r="J218" t="s">
        <v>13</v>
      </c>
      <c r="K218">
        <v>0</v>
      </c>
      <c r="M218">
        <v>0.14000000000000001</v>
      </c>
      <c r="N218" t="s">
        <v>1845</v>
      </c>
      <c r="P218">
        <v>75610</v>
      </c>
      <c r="Q218">
        <v>-3.99</v>
      </c>
      <c r="R218">
        <v>0.86</v>
      </c>
      <c r="S218" t="b">
        <v>0</v>
      </c>
      <c r="T218">
        <v>2</v>
      </c>
      <c r="U218">
        <v>4</v>
      </c>
      <c r="V218" t="s">
        <v>1381</v>
      </c>
    </row>
    <row r="219" spans="1:22" x14ac:dyDescent="0.25">
      <c r="A219" t="s">
        <v>1844</v>
      </c>
      <c r="B219">
        <v>2013</v>
      </c>
      <c r="C219" t="s">
        <v>236</v>
      </c>
      <c r="D219" t="s">
        <v>131</v>
      </c>
      <c r="E219" t="s">
        <v>36</v>
      </c>
      <c r="F219" t="s">
        <v>69</v>
      </c>
      <c r="G219" t="s">
        <v>5</v>
      </c>
      <c r="H219" t="s">
        <v>49</v>
      </c>
      <c r="I219" t="s">
        <v>33</v>
      </c>
      <c r="J219" t="s">
        <v>96</v>
      </c>
      <c r="K219">
        <v>0</v>
      </c>
      <c r="M219">
        <v>0.1</v>
      </c>
      <c r="N219" t="s">
        <v>1843</v>
      </c>
      <c r="P219">
        <v>28647</v>
      </c>
      <c r="Q219">
        <v>-3.63</v>
      </c>
      <c r="R219">
        <v>0.68</v>
      </c>
      <c r="S219" t="b">
        <v>0</v>
      </c>
      <c r="T219">
        <v>2</v>
      </c>
      <c r="U219">
        <v>8</v>
      </c>
      <c r="V219" t="s">
        <v>1381</v>
      </c>
    </row>
    <row r="220" spans="1:22" x14ac:dyDescent="0.25">
      <c r="A220" t="s">
        <v>1842</v>
      </c>
      <c r="B220">
        <v>2013</v>
      </c>
      <c r="C220" t="s">
        <v>86</v>
      </c>
      <c r="D220" t="s">
        <v>131</v>
      </c>
      <c r="E220" t="s">
        <v>42</v>
      </c>
      <c r="F220" t="s">
        <v>55</v>
      </c>
      <c r="G220" t="s">
        <v>135</v>
      </c>
      <c r="H220" t="s">
        <v>49</v>
      </c>
      <c r="I220" t="s">
        <v>107</v>
      </c>
      <c r="J220" t="s">
        <v>79</v>
      </c>
      <c r="K220">
        <v>0</v>
      </c>
      <c r="M220">
        <v>0.04</v>
      </c>
      <c r="N220" t="s">
        <v>896</v>
      </c>
      <c r="P220">
        <v>33594</v>
      </c>
      <c r="Q220">
        <v>4.66</v>
      </c>
      <c r="R220">
        <v>0.83</v>
      </c>
      <c r="S220" t="b">
        <v>0</v>
      </c>
      <c r="T220">
        <v>3</v>
      </c>
      <c r="U220">
        <v>4</v>
      </c>
      <c r="V220" t="s">
        <v>1381</v>
      </c>
    </row>
    <row r="221" spans="1:22" x14ac:dyDescent="0.25">
      <c r="A221" t="s">
        <v>1841</v>
      </c>
      <c r="B221">
        <v>2013</v>
      </c>
      <c r="C221" t="s">
        <v>267</v>
      </c>
      <c r="D221" t="s">
        <v>43</v>
      </c>
      <c r="E221" t="s">
        <v>50</v>
      </c>
      <c r="F221" t="s">
        <v>35</v>
      </c>
      <c r="G221" t="s">
        <v>16</v>
      </c>
      <c r="H221" t="s">
        <v>15</v>
      </c>
      <c r="I221" t="s">
        <v>90</v>
      </c>
      <c r="J221" t="s">
        <v>23</v>
      </c>
      <c r="K221">
        <v>0</v>
      </c>
      <c r="M221">
        <v>0.15</v>
      </c>
      <c r="N221" t="s">
        <v>1840</v>
      </c>
      <c r="P221">
        <v>68458</v>
      </c>
      <c r="Q221">
        <v>-0.96</v>
      </c>
      <c r="R221">
        <v>0.84</v>
      </c>
      <c r="S221" t="b">
        <v>0</v>
      </c>
      <c r="T221">
        <v>2</v>
      </c>
      <c r="U221">
        <v>1</v>
      </c>
      <c r="V221" t="s">
        <v>1381</v>
      </c>
    </row>
    <row r="222" spans="1:22" x14ac:dyDescent="0.25">
      <c r="A222" t="s">
        <v>1839</v>
      </c>
      <c r="B222">
        <v>2013</v>
      </c>
      <c r="C222" t="s">
        <v>92</v>
      </c>
      <c r="D222" t="s">
        <v>91</v>
      </c>
      <c r="E222" t="s">
        <v>50</v>
      </c>
      <c r="F222" t="s">
        <v>112</v>
      </c>
      <c r="G222" t="s">
        <v>16</v>
      </c>
      <c r="H222" t="s">
        <v>179</v>
      </c>
      <c r="I222" t="s">
        <v>3</v>
      </c>
      <c r="J222" t="s">
        <v>73</v>
      </c>
      <c r="K222">
        <v>0</v>
      </c>
      <c r="M222">
        <v>0.08</v>
      </c>
      <c r="N222" t="s">
        <v>1838</v>
      </c>
      <c r="P222">
        <v>49190</v>
      </c>
      <c r="Q222">
        <v>0.35</v>
      </c>
      <c r="R222">
        <v>0.64</v>
      </c>
      <c r="S222" t="b">
        <v>0</v>
      </c>
      <c r="T222">
        <v>2</v>
      </c>
      <c r="U222">
        <v>1</v>
      </c>
      <c r="V222" t="s">
        <v>1381</v>
      </c>
    </row>
    <row r="223" spans="1:22" x14ac:dyDescent="0.25">
      <c r="A223" t="s">
        <v>1837</v>
      </c>
      <c r="B223">
        <v>2013</v>
      </c>
      <c r="C223" t="s">
        <v>51</v>
      </c>
      <c r="D223" t="s">
        <v>18</v>
      </c>
      <c r="E223" t="s">
        <v>182</v>
      </c>
      <c r="F223" t="s">
        <v>69</v>
      </c>
      <c r="G223" t="s">
        <v>62</v>
      </c>
      <c r="H223" t="s">
        <v>102</v>
      </c>
      <c r="I223" t="s">
        <v>97</v>
      </c>
      <c r="J223" t="s">
        <v>2</v>
      </c>
      <c r="K223">
        <v>0</v>
      </c>
      <c r="M223">
        <v>7.0000000000000007E-2</v>
      </c>
      <c r="N223" t="s">
        <v>1836</v>
      </c>
      <c r="P223">
        <v>67568</v>
      </c>
      <c r="Q223">
        <v>-3.89</v>
      </c>
      <c r="R223">
        <v>0.64</v>
      </c>
      <c r="S223" t="b">
        <v>0</v>
      </c>
      <c r="T223">
        <v>1</v>
      </c>
      <c r="U223">
        <v>14</v>
      </c>
      <c r="V223" t="s">
        <v>1381</v>
      </c>
    </row>
    <row r="224" spans="1:22" x14ac:dyDescent="0.25">
      <c r="A224" t="s">
        <v>1835</v>
      </c>
      <c r="B224">
        <v>2013</v>
      </c>
      <c r="C224" t="s">
        <v>29</v>
      </c>
      <c r="D224" t="s">
        <v>28</v>
      </c>
      <c r="E224" t="s">
        <v>121</v>
      </c>
      <c r="F224" t="s">
        <v>112</v>
      </c>
      <c r="G224" t="s">
        <v>135</v>
      </c>
      <c r="H224" t="s">
        <v>15</v>
      </c>
      <c r="I224" t="s">
        <v>90</v>
      </c>
      <c r="J224" t="s">
        <v>23</v>
      </c>
      <c r="K224">
        <v>0</v>
      </c>
      <c r="M224">
        <v>0.04</v>
      </c>
      <c r="N224" t="s">
        <v>1834</v>
      </c>
      <c r="P224">
        <v>37391</v>
      </c>
      <c r="Q224">
        <v>-2.34</v>
      </c>
      <c r="R224">
        <v>0.9</v>
      </c>
      <c r="S224" t="b">
        <v>0</v>
      </c>
      <c r="T224">
        <v>1</v>
      </c>
      <c r="U224">
        <v>11</v>
      </c>
      <c r="V224" t="s">
        <v>1381</v>
      </c>
    </row>
    <row r="225" spans="1:22" x14ac:dyDescent="0.25">
      <c r="A225" t="s">
        <v>1833</v>
      </c>
      <c r="B225">
        <v>2013</v>
      </c>
      <c r="C225" t="s">
        <v>220</v>
      </c>
      <c r="D225" t="s">
        <v>91</v>
      </c>
      <c r="E225" t="s">
        <v>50</v>
      </c>
      <c r="F225" t="s">
        <v>136</v>
      </c>
      <c r="G225" t="s">
        <v>135</v>
      </c>
      <c r="H225" t="s">
        <v>141</v>
      </c>
      <c r="I225" t="s">
        <v>68</v>
      </c>
      <c r="J225" t="s">
        <v>13</v>
      </c>
      <c r="K225">
        <v>0</v>
      </c>
      <c r="M225">
        <v>0.03</v>
      </c>
      <c r="N225" t="s">
        <v>1832</v>
      </c>
      <c r="P225">
        <v>53113</v>
      </c>
      <c r="Q225">
        <v>0.32</v>
      </c>
      <c r="R225">
        <v>0.79</v>
      </c>
      <c r="S225" t="b">
        <v>0</v>
      </c>
      <c r="T225">
        <v>2</v>
      </c>
      <c r="U225">
        <v>15</v>
      </c>
      <c r="V225" t="s">
        <v>1381</v>
      </c>
    </row>
    <row r="226" spans="1:22" x14ac:dyDescent="0.25">
      <c r="A226" t="s">
        <v>1831</v>
      </c>
      <c r="B226">
        <v>2013</v>
      </c>
      <c r="C226" t="s">
        <v>81</v>
      </c>
      <c r="D226" t="s">
        <v>28</v>
      </c>
      <c r="E226" t="s">
        <v>130</v>
      </c>
      <c r="F226" t="s">
        <v>41</v>
      </c>
      <c r="G226" t="s">
        <v>25</v>
      </c>
      <c r="H226" t="s">
        <v>141</v>
      </c>
      <c r="I226" t="s">
        <v>33</v>
      </c>
      <c r="J226" t="s">
        <v>73</v>
      </c>
      <c r="K226">
        <v>1</v>
      </c>
      <c r="L226" t="s">
        <v>240</v>
      </c>
      <c r="M226">
        <v>0.4</v>
      </c>
      <c r="N226" t="s">
        <v>1830</v>
      </c>
      <c r="O226" t="s">
        <v>240</v>
      </c>
      <c r="P226">
        <v>60372</v>
      </c>
      <c r="Q226">
        <v>1.65</v>
      </c>
      <c r="R226">
        <v>0.15</v>
      </c>
      <c r="S226" t="b">
        <v>1</v>
      </c>
      <c r="T226">
        <v>2</v>
      </c>
      <c r="U226">
        <v>13</v>
      </c>
      <c r="V226" t="s">
        <v>1381</v>
      </c>
    </row>
    <row r="227" spans="1:22" x14ac:dyDescent="0.25">
      <c r="A227" t="s">
        <v>1829</v>
      </c>
      <c r="B227">
        <v>2013</v>
      </c>
      <c r="C227" t="s">
        <v>281</v>
      </c>
      <c r="D227" t="s">
        <v>91</v>
      </c>
      <c r="E227" t="s">
        <v>27</v>
      </c>
      <c r="F227" t="s">
        <v>55</v>
      </c>
      <c r="G227" t="s">
        <v>5</v>
      </c>
      <c r="H227" t="s">
        <v>141</v>
      </c>
      <c r="I227" t="s">
        <v>33</v>
      </c>
      <c r="J227" t="s">
        <v>2</v>
      </c>
      <c r="K227">
        <v>0</v>
      </c>
      <c r="M227">
        <v>0.09</v>
      </c>
      <c r="N227" t="s">
        <v>1828</v>
      </c>
      <c r="P227">
        <v>60280</v>
      </c>
      <c r="Q227">
        <v>-4.5999999999999996</v>
      </c>
      <c r="R227">
        <v>0.78</v>
      </c>
      <c r="S227" t="b">
        <v>0</v>
      </c>
      <c r="T227">
        <v>2</v>
      </c>
      <c r="U227">
        <v>1</v>
      </c>
      <c r="V227" t="s">
        <v>1381</v>
      </c>
    </row>
    <row r="228" spans="1:22" x14ac:dyDescent="0.25">
      <c r="A228" t="s">
        <v>1827</v>
      </c>
      <c r="B228">
        <v>2013</v>
      </c>
      <c r="C228" t="s">
        <v>215</v>
      </c>
      <c r="D228" t="s">
        <v>91</v>
      </c>
      <c r="E228" t="s">
        <v>130</v>
      </c>
      <c r="F228" t="s">
        <v>75</v>
      </c>
      <c r="G228" t="s">
        <v>135</v>
      </c>
      <c r="H228" t="s">
        <v>49</v>
      </c>
      <c r="I228" t="s">
        <v>24</v>
      </c>
      <c r="J228" t="s">
        <v>2</v>
      </c>
      <c r="K228">
        <v>0</v>
      </c>
      <c r="M228">
        <v>0.04</v>
      </c>
      <c r="N228" t="s">
        <v>1826</v>
      </c>
      <c r="P228">
        <v>53837</v>
      </c>
      <c r="Q228">
        <v>-3.34</v>
      </c>
      <c r="R228">
        <v>0.65</v>
      </c>
      <c r="S228" t="b">
        <v>0</v>
      </c>
      <c r="T228">
        <v>1</v>
      </c>
      <c r="U228">
        <v>2</v>
      </c>
      <c r="V228" t="s">
        <v>1381</v>
      </c>
    </row>
    <row r="229" spans="1:22" x14ac:dyDescent="0.25">
      <c r="A229" t="s">
        <v>1825</v>
      </c>
      <c r="B229">
        <v>2013</v>
      </c>
      <c r="C229" t="s">
        <v>348</v>
      </c>
      <c r="D229" t="s">
        <v>64</v>
      </c>
      <c r="E229" t="s">
        <v>116</v>
      </c>
      <c r="F229" t="s">
        <v>55</v>
      </c>
      <c r="G229" t="s">
        <v>5</v>
      </c>
      <c r="H229" t="s">
        <v>15</v>
      </c>
      <c r="I229" t="s">
        <v>97</v>
      </c>
      <c r="J229" t="s">
        <v>73</v>
      </c>
      <c r="K229">
        <v>0</v>
      </c>
      <c r="M229">
        <v>0.1</v>
      </c>
      <c r="N229" t="s">
        <v>1824</v>
      </c>
      <c r="P229">
        <v>80107</v>
      </c>
      <c r="Q229">
        <v>0.48</v>
      </c>
      <c r="R229">
        <v>0.82</v>
      </c>
      <c r="S229" t="b">
        <v>0</v>
      </c>
      <c r="T229">
        <v>3</v>
      </c>
      <c r="U229">
        <v>12</v>
      </c>
      <c r="V229" t="s">
        <v>1381</v>
      </c>
    </row>
    <row r="230" spans="1:22" x14ac:dyDescent="0.25">
      <c r="A230" t="s">
        <v>1823</v>
      </c>
      <c r="B230">
        <v>2013</v>
      </c>
      <c r="C230" t="s">
        <v>92</v>
      </c>
      <c r="D230" t="s">
        <v>91</v>
      </c>
      <c r="E230" t="s">
        <v>56</v>
      </c>
      <c r="F230" t="s">
        <v>41</v>
      </c>
      <c r="G230" t="s">
        <v>62</v>
      </c>
      <c r="H230" t="s">
        <v>102</v>
      </c>
      <c r="I230" t="s">
        <v>33</v>
      </c>
      <c r="J230" t="s">
        <v>23</v>
      </c>
      <c r="K230">
        <v>0</v>
      </c>
      <c r="M230">
        <v>0.2</v>
      </c>
      <c r="N230" t="s">
        <v>1822</v>
      </c>
      <c r="P230">
        <v>57703</v>
      </c>
      <c r="Q230">
        <v>3.16</v>
      </c>
      <c r="R230">
        <v>0.9</v>
      </c>
      <c r="S230" t="b">
        <v>0</v>
      </c>
      <c r="T230">
        <v>2</v>
      </c>
      <c r="U230">
        <v>0</v>
      </c>
      <c r="V230" t="s">
        <v>1381</v>
      </c>
    </row>
    <row r="231" spans="1:22" x14ac:dyDescent="0.25">
      <c r="A231" t="s">
        <v>1821</v>
      </c>
      <c r="B231">
        <v>2013</v>
      </c>
      <c r="C231" t="s">
        <v>287</v>
      </c>
      <c r="D231" t="s">
        <v>43</v>
      </c>
      <c r="E231" t="s">
        <v>147</v>
      </c>
      <c r="F231" t="s">
        <v>108</v>
      </c>
      <c r="G231" t="s">
        <v>62</v>
      </c>
      <c r="H231" t="s">
        <v>34</v>
      </c>
      <c r="I231" t="s">
        <v>97</v>
      </c>
      <c r="J231" t="s">
        <v>13</v>
      </c>
      <c r="K231">
        <v>0</v>
      </c>
      <c r="M231">
        <v>0.18</v>
      </c>
      <c r="N231" t="s">
        <v>1820</v>
      </c>
      <c r="P231">
        <v>61468</v>
      </c>
      <c r="Q231">
        <v>1.87</v>
      </c>
      <c r="R231">
        <v>0.65</v>
      </c>
      <c r="S231" t="b">
        <v>0</v>
      </c>
      <c r="T231">
        <v>2</v>
      </c>
      <c r="U231">
        <v>3</v>
      </c>
      <c r="V231" t="s">
        <v>1381</v>
      </c>
    </row>
    <row r="232" spans="1:22" x14ac:dyDescent="0.25">
      <c r="A232" t="s">
        <v>1819</v>
      </c>
      <c r="B232">
        <v>2013</v>
      </c>
      <c r="C232" t="s">
        <v>171</v>
      </c>
      <c r="D232" t="s">
        <v>57</v>
      </c>
      <c r="E232" t="s">
        <v>42</v>
      </c>
      <c r="F232" t="s">
        <v>103</v>
      </c>
      <c r="G232" t="s">
        <v>62</v>
      </c>
      <c r="H232" t="s">
        <v>141</v>
      </c>
      <c r="I232" t="s">
        <v>74</v>
      </c>
      <c r="J232" t="s">
        <v>96</v>
      </c>
      <c r="K232">
        <v>0</v>
      </c>
      <c r="M232">
        <v>0.08</v>
      </c>
      <c r="N232" t="s">
        <v>1818</v>
      </c>
      <c r="P232">
        <v>70368</v>
      </c>
      <c r="Q232">
        <v>3.38</v>
      </c>
      <c r="R232">
        <v>0.78</v>
      </c>
      <c r="S232" t="b">
        <v>0</v>
      </c>
      <c r="T232">
        <v>1</v>
      </c>
      <c r="U232">
        <v>14</v>
      </c>
      <c r="V232" t="s">
        <v>1381</v>
      </c>
    </row>
    <row r="233" spans="1:22" x14ac:dyDescent="0.25">
      <c r="A233" t="s">
        <v>1817</v>
      </c>
      <c r="B233">
        <v>2013</v>
      </c>
      <c r="C233" t="s">
        <v>86</v>
      </c>
      <c r="D233" t="s">
        <v>131</v>
      </c>
      <c r="E233" t="s">
        <v>50</v>
      </c>
      <c r="F233" t="s">
        <v>115</v>
      </c>
      <c r="G233" t="s">
        <v>5</v>
      </c>
      <c r="H233" t="s">
        <v>34</v>
      </c>
      <c r="I233" t="s">
        <v>3</v>
      </c>
      <c r="J233" t="s">
        <v>13</v>
      </c>
      <c r="K233">
        <v>1</v>
      </c>
      <c r="L233" t="s">
        <v>1815</v>
      </c>
      <c r="M233">
        <v>0.7</v>
      </c>
      <c r="N233" t="s">
        <v>1816</v>
      </c>
      <c r="O233" t="s">
        <v>1815</v>
      </c>
      <c r="P233">
        <v>46324</v>
      </c>
      <c r="Q233">
        <v>-1.1299999999999999</v>
      </c>
      <c r="R233">
        <v>0.33</v>
      </c>
      <c r="S233" t="b">
        <v>1</v>
      </c>
      <c r="T233">
        <v>2</v>
      </c>
      <c r="U233">
        <v>3</v>
      </c>
      <c r="V233" t="s">
        <v>1381</v>
      </c>
    </row>
    <row r="234" spans="1:22" x14ac:dyDescent="0.25">
      <c r="A234" t="s">
        <v>1814</v>
      </c>
      <c r="B234">
        <v>2013</v>
      </c>
      <c r="C234" t="s">
        <v>348</v>
      </c>
      <c r="D234" t="s">
        <v>64</v>
      </c>
      <c r="E234" t="s">
        <v>219</v>
      </c>
      <c r="F234" t="s">
        <v>6</v>
      </c>
      <c r="G234" t="s">
        <v>16</v>
      </c>
      <c r="H234" t="s">
        <v>179</v>
      </c>
      <c r="I234" t="s">
        <v>33</v>
      </c>
      <c r="J234" t="s">
        <v>13</v>
      </c>
      <c r="K234">
        <v>0</v>
      </c>
      <c r="M234">
        <v>0.04</v>
      </c>
      <c r="N234" t="s">
        <v>1813</v>
      </c>
      <c r="P234">
        <v>65826</v>
      </c>
      <c r="Q234">
        <v>-0.47</v>
      </c>
      <c r="R234">
        <v>0.67</v>
      </c>
      <c r="S234" t="b">
        <v>0</v>
      </c>
      <c r="T234">
        <v>1</v>
      </c>
      <c r="U234">
        <v>12</v>
      </c>
      <c r="V234" t="s">
        <v>1381</v>
      </c>
    </row>
    <row r="235" spans="1:22" x14ac:dyDescent="0.25">
      <c r="A235" t="s">
        <v>1812</v>
      </c>
      <c r="B235">
        <v>2013</v>
      </c>
      <c r="C235" t="s">
        <v>152</v>
      </c>
      <c r="D235" t="s">
        <v>28</v>
      </c>
      <c r="E235" t="s">
        <v>130</v>
      </c>
      <c r="F235" t="s">
        <v>156</v>
      </c>
      <c r="G235" t="s">
        <v>62</v>
      </c>
      <c r="H235" t="s">
        <v>34</v>
      </c>
      <c r="I235" t="s">
        <v>68</v>
      </c>
      <c r="J235" t="s">
        <v>2</v>
      </c>
      <c r="K235">
        <v>0</v>
      </c>
      <c r="M235">
        <v>0.2</v>
      </c>
      <c r="N235" t="s">
        <v>1811</v>
      </c>
      <c r="P235">
        <v>39753</v>
      </c>
      <c r="Q235">
        <v>-3.37</v>
      </c>
      <c r="R235">
        <v>0.85</v>
      </c>
      <c r="S235" t="b">
        <v>0</v>
      </c>
      <c r="T235">
        <v>2</v>
      </c>
      <c r="U235">
        <v>10</v>
      </c>
      <c r="V235" t="s">
        <v>1381</v>
      </c>
    </row>
    <row r="236" spans="1:22" x14ac:dyDescent="0.25">
      <c r="A236" t="s">
        <v>1810</v>
      </c>
      <c r="B236">
        <v>2013</v>
      </c>
      <c r="C236" t="s">
        <v>152</v>
      </c>
      <c r="D236" t="s">
        <v>28</v>
      </c>
      <c r="E236" t="s">
        <v>7</v>
      </c>
      <c r="F236" t="s">
        <v>63</v>
      </c>
      <c r="G236" t="s">
        <v>5</v>
      </c>
      <c r="H236" t="s">
        <v>141</v>
      </c>
      <c r="I236" t="s">
        <v>74</v>
      </c>
      <c r="J236" t="s">
        <v>13</v>
      </c>
      <c r="K236">
        <v>1</v>
      </c>
      <c r="L236" t="s">
        <v>451</v>
      </c>
      <c r="M236">
        <v>0.94</v>
      </c>
      <c r="N236" t="s">
        <v>1809</v>
      </c>
      <c r="O236" t="s">
        <v>451</v>
      </c>
      <c r="P236">
        <v>53683</v>
      </c>
      <c r="Q236">
        <v>0.15</v>
      </c>
      <c r="R236">
        <v>0.11</v>
      </c>
      <c r="S236" t="b">
        <v>1</v>
      </c>
      <c r="T236">
        <v>1</v>
      </c>
      <c r="U236">
        <v>5</v>
      </c>
      <c r="V236" t="s">
        <v>1381</v>
      </c>
    </row>
    <row r="237" spans="1:22" x14ac:dyDescent="0.25">
      <c r="A237" t="s">
        <v>1808</v>
      </c>
      <c r="B237">
        <v>2013</v>
      </c>
      <c r="C237" t="s">
        <v>117</v>
      </c>
      <c r="D237" t="s">
        <v>91</v>
      </c>
      <c r="E237" t="s">
        <v>116</v>
      </c>
      <c r="F237" t="s">
        <v>115</v>
      </c>
      <c r="G237" t="s">
        <v>62</v>
      </c>
      <c r="H237" t="s">
        <v>141</v>
      </c>
      <c r="I237" t="s">
        <v>90</v>
      </c>
      <c r="J237" t="s">
        <v>2</v>
      </c>
      <c r="K237">
        <v>0</v>
      </c>
      <c r="M237">
        <v>7.0000000000000007E-2</v>
      </c>
      <c r="N237" t="s">
        <v>1807</v>
      </c>
      <c r="P237">
        <v>59951</v>
      </c>
      <c r="Q237">
        <v>-4.55</v>
      </c>
      <c r="R237">
        <v>0.73</v>
      </c>
      <c r="S237" t="b">
        <v>0</v>
      </c>
      <c r="T237">
        <v>3</v>
      </c>
      <c r="U237">
        <v>0</v>
      </c>
      <c r="V237" t="s">
        <v>1381</v>
      </c>
    </row>
    <row r="238" spans="1:22" x14ac:dyDescent="0.25">
      <c r="A238" t="s">
        <v>1806</v>
      </c>
      <c r="B238">
        <v>2013</v>
      </c>
      <c r="C238" t="s">
        <v>311</v>
      </c>
      <c r="D238" t="s">
        <v>125</v>
      </c>
      <c r="E238" t="s">
        <v>182</v>
      </c>
      <c r="F238" t="s">
        <v>75</v>
      </c>
      <c r="G238" t="s">
        <v>62</v>
      </c>
      <c r="H238" t="s">
        <v>102</v>
      </c>
      <c r="I238" t="s">
        <v>33</v>
      </c>
      <c r="J238" t="s">
        <v>23</v>
      </c>
      <c r="K238">
        <v>0</v>
      </c>
      <c r="M238">
        <v>0.19</v>
      </c>
      <c r="N238" t="s">
        <v>1805</v>
      </c>
      <c r="P238">
        <v>21846</v>
      </c>
      <c r="Q238">
        <v>-0.72</v>
      </c>
      <c r="R238">
        <v>0.75</v>
      </c>
      <c r="S238" t="b">
        <v>0</v>
      </c>
      <c r="T238">
        <v>3</v>
      </c>
      <c r="U238">
        <v>19</v>
      </c>
      <c r="V238" t="s">
        <v>1381</v>
      </c>
    </row>
    <row r="239" spans="1:22" x14ac:dyDescent="0.25">
      <c r="A239" t="s">
        <v>1804</v>
      </c>
      <c r="B239">
        <v>2013</v>
      </c>
      <c r="C239" t="s">
        <v>117</v>
      </c>
      <c r="D239" t="s">
        <v>91</v>
      </c>
      <c r="E239" t="s">
        <v>130</v>
      </c>
      <c r="F239" t="s">
        <v>55</v>
      </c>
      <c r="G239" t="s">
        <v>5</v>
      </c>
      <c r="H239" t="s">
        <v>34</v>
      </c>
      <c r="I239" t="s">
        <v>97</v>
      </c>
      <c r="J239" t="s">
        <v>23</v>
      </c>
      <c r="K239">
        <v>0</v>
      </c>
      <c r="M239">
        <v>0.13</v>
      </c>
      <c r="N239" t="s">
        <v>1803</v>
      </c>
      <c r="P239">
        <v>47744</v>
      </c>
      <c r="Q239">
        <v>4.93</v>
      </c>
      <c r="R239">
        <v>0.87</v>
      </c>
      <c r="S239" t="b">
        <v>0</v>
      </c>
      <c r="T239">
        <v>1</v>
      </c>
      <c r="U239">
        <v>19</v>
      </c>
      <c r="V239" t="s">
        <v>1381</v>
      </c>
    </row>
    <row r="240" spans="1:22" x14ac:dyDescent="0.25">
      <c r="A240" t="s">
        <v>1802</v>
      </c>
      <c r="B240">
        <v>2013</v>
      </c>
      <c r="C240" t="s">
        <v>157</v>
      </c>
      <c r="D240" t="s">
        <v>18</v>
      </c>
      <c r="E240" t="s">
        <v>42</v>
      </c>
      <c r="F240" t="s">
        <v>156</v>
      </c>
      <c r="G240" t="s">
        <v>62</v>
      </c>
      <c r="H240" t="s">
        <v>102</v>
      </c>
      <c r="I240" t="s">
        <v>24</v>
      </c>
      <c r="J240" t="s">
        <v>23</v>
      </c>
      <c r="K240">
        <v>0</v>
      </c>
      <c r="M240">
        <v>0.09</v>
      </c>
      <c r="N240" t="s">
        <v>1801</v>
      </c>
      <c r="P240">
        <v>61378</v>
      </c>
      <c r="Q240">
        <v>0.04</v>
      </c>
      <c r="R240">
        <v>0.81</v>
      </c>
      <c r="S240" t="b">
        <v>0</v>
      </c>
      <c r="T240">
        <v>1</v>
      </c>
      <c r="U240">
        <v>4</v>
      </c>
      <c r="V240" t="s">
        <v>1381</v>
      </c>
    </row>
    <row r="241" spans="1:22" x14ac:dyDescent="0.25">
      <c r="A241" t="s">
        <v>1800</v>
      </c>
      <c r="B241">
        <v>2013</v>
      </c>
      <c r="C241" t="s">
        <v>86</v>
      </c>
      <c r="D241" t="s">
        <v>131</v>
      </c>
      <c r="E241" t="s">
        <v>7</v>
      </c>
      <c r="F241" t="s">
        <v>124</v>
      </c>
      <c r="G241" t="s">
        <v>5</v>
      </c>
      <c r="H241" t="s">
        <v>61</v>
      </c>
      <c r="I241" t="s">
        <v>68</v>
      </c>
      <c r="J241" t="s">
        <v>96</v>
      </c>
      <c r="K241">
        <v>0</v>
      </c>
      <c r="M241">
        <v>0.16</v>
      </c>
      <c r="N241" t="s">
        <v>1799</v>
      </c>
      <c r="P241">
        <v>32087</v>
      </c>
      <c r="Q241">
        <v>-0.73</v>
      </c>
      <c r="R241">
        <v>0.83</v>
      </c>
      <c r="S241" t="b">
        <v>0</v>
      </c>
      <c r="T241">
        <v>1</v>
      </c>
      <c r="U241">
        <v>1</v>
      </c>
      <c r="V241" t="s">
        <v>1381</v>
      </c>
    </row>
    <row r="242" spans="1:22" x14ac:dyDescent="0.25">
      <c r="A242" t="s">
        <v>1798</v>
      </c>
      <c r="B242">
        <v>2013</v>
      </c>
      <c r="C242" t="s">
        <v>104</v>
      </c>
      <c r="D242" t="s">
        <v>8</v>
      </c>
      <c r="E242" t="s">
        <v>17</v>
      </c>
      <c r="F242" t="s">
        <v>80</v>
      </c>
      <c r="G242" t="s">
        <v>25</v>
      </c>
      <c r="H242" t="s">
        <v>179</v>
      </c>
      <c r="I242" t="s">
        <v>14</v>
      </c>
      <c r="J242" t="s">
        <v>73</v>
      </c>
      <c r="K242">
        <v>0</v>
      </c>
      <c r="M242">
        <v>0.09</v>
      </c>
      <c r="N242" t="s">
        <v>1797</v>
      </c>
      <c r="P242">
        <v>21258</v>
      </c>
      <c r="Q242">
        <v>0</v>
      </c>
      <c r="R242">
        <v>0.72</v>
      </c>
      <c r="S242" t="b">
        <v>0</v>
      </c>
      <c r="T242">
        <v>2</v>
      </c>
      <c r="U242">
        <v>4</v>
      </c>
      <c r="V242" t="s">
        <v>1381</v>
      </c>
    </row>
    <row r="243" spans="1:22" x14ac:dyDescent="0.25">
      <c r="A243" s="1" t="s">
        <v>1796</v>
      </c>
      <c r="B243">
        <v>2013</v>
      </c>
      <c r="C243" t="s">
        <v>220</v>
      </c>
      <c r="D243" t="s">
        <v>91</v>
      </c>
      <c r="E243" t="s">
        <v>86</v>
      </c>
      <c r="F243" t="s">
        <v>136</v>
      </c>
      <c r="G243" t="s">
        <v>16</v>
      </c>
      <c r="H243" t="s">
        <v>34</v>
      </c>
      <c r="I243" t="s">
        <v>14</v>
      </c>
      <c r="J243" t="s">
        <v>23</v>
      </c>
      <c r="K243">
        <v>0</v>
      </c>
      <c r="M243">
        <v>0.11</v>
      </c>
      <c r="N243" t="s">
        <v>1795</v>
      </c>
      <c r="P243">
        <v>55408</v>
      </c>
      <c r="Q243">
        <v>3.75</v>
      </c>
      <c r="R243">
        <v>0.84</v>
      </c>
      <c r="S243" t="b">
        <v>0</v>
      </c>
      <c r="T243">
        <v>3</v>
      </c>
      <c r="U243">
        <v>3</v>
      </c>
      <c r="V243" t="s">
        <v>1381</v>
      </c>
    </row>
    <row r="244" spans="1:22" x14ac:dyDescent="0.25">
      <c r="A244" t="s">
        <v>1794</v>
      </c>
      <c r="B244">
        <v>2013</v>
      </c>
      <c r="C244" t="s">
        <v>104</v>
      </c>
      <c r="D244" t="s">
        <v>8</v>
      </c>
      <c r="E244" t="s">
        <v>116</v>
      </c>
      <c r="F244" t="s">
        <v>108</v>
      </c>
      <c r="G244" t="s">
        <v>5</v>
      </c>
      <c r="H244" t="s">
        <v>49</v>
      </c>
      <c r="I244" t="s">
        <v>40</v>
      </c>
      <c r="J244" t="s">
        <v>2</v>
      </c>
      <c r="K244">
        <v>0</v>
      </c>
      <c r="M244">
        <v>0.08</v>
      </c>
      <c r="N244" t="s">
        <v>1793</v>
      </c>
      <c r="P244">
        <v>22969</v>
      </c>
      <c r="Q244">
        <v>-4.57</v>
      </c>
      <c r="R244">
        <v>0.64</v>
      </c>
      <c r="S244" t="b">
        <v>0</v>
      </c>
      <c r="T244">
        <v>2</v>
      </c>
      <c r="U244">
        <v>0</v>
      </c>
      <c r="V244" t="s">
        <v>1381</v>
      </c>
    </row>
    <row r="245" spans="1:22" x14ac:dyDescent="0.25">
      <c r="A245" t="s">
        <v>1792</v>
      </c>
      <c r="B245">
        <v>2013</v>
      </c>
      <c r="C245" t="s">
        <v>104</v>
      </c>
      <c r="D245" t="s">
        <v>8</v>
      </c>
      <c r="E245" t="s">
        <v>17</v>
      </c>
      <c r="F245" t="s">
        <v>6</v>
      </c>
      <c r="G245" t="s">
        <v>135</v>
      </c>
      <c r="H245" t="s">
        <v>34</v>
      </c>
      <c r="I245" t="s">
        <v>107</v>
      </c>
      <c r="J245" t="s">
        <v>96</v>
      </c>
      <c r="K245">
        <v>0</v>
      </c>
      <c r="M245">
        <v>0.02</v>
      </c>
      <c r="N245" t="s">
        <v>1791</v>
      </c>
      <c r="P245">
        <v>21575</v>
      </c>
      <c r="Q245">
        <v>3.18</v>
      </c>
      <c r="R245">
        <v>0.82</v>
      </c>
      <c r="S245" t="b">
        <v>0</v>
      </c>
      <c r="T245">
        <v>1</v>
      </c>
      <c r="U245">
        <v>4</v>
      </c>
      <c r="V245" t="s">
        <v>1381</v>
      </c>
    </row>
    <row r="246" spans="1:22" x14ac:dyDescent="0.25">
      <c r="A246" t="s">
        <v>1790</v>
      </c>
      <c r="B246">
        <v>2013</v>
      </c>
      <c r="C246" t="s">
        <v>29</v>
      </c>
      <c r="D246" t="s">
        <v>28</v>
      </c>
      <c r="E246" t="s">
        <v>42</v>
      </c>
      <c r="F246" t="s">
        <v>41</v>
      </c>
      <c r="G246" t="s">
        <v>25</v>
      </c>
      <c r="H246" t="s">
        <v>179</v>
      </c>
      <c r="I246" t="s">
        <v>3</v>
      </c>
      <c r="J246" t="s">
        <v>79</v>
      </c>
      <c r="K246">
        <v>0</v>
      </c>
      <c r="M246">
        <v>0.17</v>
      </c>
      <c r="N246" t="s">
        <v>1789</v>
      </c>
      <c r="P246">
        <v>34381</v>
      </c>
      <c r="Q246">
        <v>-0.7</v>
      </c>
      <c r="R246">
        <v>0.86</v>
      </c>
      <c r="S246" t="b">
        <v>0</v>
      </c>
      <c r="T246">
        <v>1</v>
      </c>
      <c r="U246">
        <v>0</v>
      </c>
      <c r="V246" t="s">
        <v>1381</v>
      </c>
    </row>
    <row r="247" spans="1:22" x14ac:dyDescent="0.25">
      <c r="A247" t="s">
        <v>1788</v>
      </c>
      <c r="B247">
        <v>2013</v>
      </c>
      <c r="C247" t="s">
        <v>245</v>
      </c>
      <c r="D247" t="s">
        <v>125</v>
      </c>
      <c r="E247" t="s">
        <v>36</v>
      </c>
      <c r="F247" t="s">
        <v>124</v>
      </c>
      <c r="G247" t="s">
        <v>135</v>
      </c>
      <c r="H247" t="s">
        <v>49</v>
      </c>
      <c r="I247" t="s">
        <v>107</v>
      </c>
      <c r="J247" t="s">
        <v>23</v>
      </c>
      <c r="K247">
        <v>0</v>
      </c>
      <c r="M247">
        <v>0.02</v>
      </c>
      <c r="N247" t="s">
        <v>1787</v>
      </c>
      <c r="P247">
        <v>17242</v>
      </c>
      <c r="Q247">
        <v>3.82</v>
      </c>
      <c r="R247">
        <v>0.7</v>
      </c>
      <c r="S247" t="b">
        <v>0</v>
      </c>
      <c r="T247">
        <v>1</v>
      </c>
      <c r="U247">
        <v>8</v>
      </c>
      <c r="V247" t="s">
        <v>1381</v>
      </c>
    </row>
    <row r="248" spans="1:22" x14ac:dyDescent="0.25">
      <c r="A248" t="s">
        <v>1786</v>
      </c>
      <c r="B248">
        <v>2013</v>
      </c>
      <c r="C248" t="s">
        <v>58</v>
      </c>
      <c r="D248" t="s">
        <v>57</v>
      </c>
      <c r="E248" t="s">
        <v>50</v>
      </c>
      <c r="F248" t="s">
        <v>124</v>
      </c>
      <c r="G248" t="s">
        <v>16</v>
      </c>
      <c r="H248" t="s">
        <v>4</v>
      </c>
      <c r="I248" t="s">
        <v>90</v>
      </c>
      <c r="J248" t="s">
        <v>2</v>
      </c>
      <c r="K248">
        <v>0</v>
      </c>
      <c r="M248">
        <v>0.13</v>
      </c>
      <c r="N248" t="s">
        <v>1785</v>
      </c>
      <c r="P248">
        <v>78150</v>
      </c>
      <c r="Q248">
        <v>1.05</v>
      </c>
      <c r="R248">
        <v>0.83</v>
      </c>
      <c r="S248" t="b">
        <v>0</v>
      </c>
      <c r="T248">
        <v>3</v>
      </c>
      <c r="U248">
        <v>2</v>
      </c>
      <c r="V248" t="s">
        <v>1381</v>
      </c>
    </row>
    <row r="249" spans="1:22" x14ac:dyDescent="0.25">
      <c r="A249" t="s">
        <v>1784</v>
      </c>
      <c r="B249">
        <v>2013</v>
      </c>
      <c r="C249" t="s">
        <v>161</v>
      </c>
      <c r="D249" t="s">
        <v>8</v>
      </c>
      <c r="E249" t="s">
        <v>182</v>
      </c>
      <c r="F249" t="s">
        <v>156</v>
      </c>
      <c r="G249" t="s">
        <v>135</v>
      </c>
      <c r="H249" t="s">
        <v>102</v>
      </c>
      <c r="I249" t="s">
        <v>3</v>
      </c>
      <c r="J249" t="s">
        <v>23</v>
      </c>
      <c r="K249">
        <v>1</v>
      </c>
      <c r="L249" t="s">
        <v>1376</v>
      </c>
      <c r="M249">
        <v>0.45</v>
      </c>
      <c r="N249" t="s">
        <v>1783</v>
      </c>
      <c r="O249" t="s">
        <v>1376</v>
      </c>
      <c r="P249">
        <v>32591</v>
      </c>
      <c r="Q249">
        <v>-2.5299999999999998</v>
      </c>
      <c r="R249">
        <v>0.11</v>
      </c>
      <c r="S249" t="b">
        <v>1</v>
      </c>
      <c r="T249">
        <v>2</v>
      </c>
      <c r="U249">
        <v>1</v>
      </c>
      <c r="V249" t="s">
        <v>1381</v>
      </c>
    </row>
    <row r="250" spans="1:22" x14ac:dyDescent="0.25">
      <c r="A250" t="s">
        <v>1782</v>
      </c>
      <c r="B250">
        <v>2013</v>
      </c>
      <c r="C250" t="s">
        <v>157</v>
      </c>
      <c r="D250" t="s">
        <v>18</v>
      </c>
      <c r="E250" t="s">
        <v>116</v>
      </c>
      <c r="F250" t="s">
        <v>115</v>
      </c>
      <c r="G250" t="s">
        <v>135</v>
      </c>
      <c r="H250" t="s">
        <v>15</v>
      </c>
      <c r="I250" t="s">
        <v>97</v>
      </c>
      <c r="J250" t="s">
        <v>73</v>
      </c>
      <c r="K250">
        <v>0</v>
      </c>
      <c r="M250">
        <v>0.16</v>
      </c>
      <c r="N250" t="s">
        <v>1781</v>
      </c>
      <c r="P250">
        <v>58749</v>
      </c>
      <c r="Q250">
        <v>-2.58</v>
      </c>
      <c r="R250">
        <v>0.77</v>
      </c>
      <c r="S250" t="b">
        <v>0</v>
      </c>
      <c r="T250">
        <v>3</v>
      </c>
      <c r="U250">
        <v>17</v>
      </c>
      <c r="V250" t="s">
        <v>1381</v>
      </c>
    </row>
    <row r="251" spans="1:22" x14ac:dyDescent="0.25">
      <c r="A251" t="s">
        <v>1780</v>
      </c>
      <c r="B251">
        <v>2013</v>
      </c>
      <c r="C251" t="s">
        <v>44</v>
      </c>
      <c r="D251" t="s">
        <v>43</v>
      </c>
      <c r="E251" t="s">
        <v>182</v>
      </c>
      <c r="F251" t="s">
        <v>26</v>
      </c>
      <c r="G251" t="s">
        <v>135</v>
      </c>
      <c r="H251" t="s">
        <v>34</v>
      </c>
      <c r="I251" t="s">
        <v>3</v>
      </c>
      <c r="J251" t="s">
        <v>2</v>
      </c>
      <c r="K251">
        <v>0</v>
      </c>
      <c r="M251">
        <v>0.02</v>
      </c>
      <c r="N251" t="s">
        <v>1779</v>
      </c>
      <c r="P251">
        <v>68203</v>
      </c>
      <c r="Q251">
        <v>2.93</v>
      </c>
      <c r="R251">
        <v>0.68</v>
      </c>
      <c r="S251" t="b">
        <v>0</v>
      </c>
      <c r="T251">
        <v>2</v>
      </c>
      <c r="U251">
        <v>3</v>
      </c>
      <c r="V251" t="s">
        <v>1381</v>
      </c>
    </row>
    <row r="252" spans="1:22" x14ac:dyDescent="0.25">
      <c r="A252" s="1" t="s">
        <v>1778</v>
      </c>
      <c r="B252">
        <v>2014</v>
      </c>
      <c r="C252" t="s">
        <v>70</v>
      </c>
      <c r="D252" t="s">
        <v>18</v>
      </c>
      <c r="E252" t="s">
        <v>27</v>
      </c>
      <c r="F252" t="s">
        <v>35</v>
      </c>
      <c r="G252" t="s">
        <v>135</v>
      </c>
      <c r="H252" t="s">
        <v>85</v>
      </c>
      <c r="I252" t="s">
        <v>74</v>
      </c>
      <c r="J252" t="s">
        <v>23</v>
      </c>
      <c r="K252">
        <v>0</v>
      </c>
      <c r="M252">
        <v>0.11</v>
      </c>
      <c r="N252" t="s">
        <v>1777</v>
      </c>
      <c r="P252">
        <v>57215</v>
      </c>
      <c r="Q252">
        <v>0.85</v>
      </c>
      <c r="R252">
        <v>0.87</v>
      </c>
      <c r="S252" t="b">
        <v>0</v>
      </c>
      <c r="T252">
        <v>3</v>
      </c>
      <c r="U252">
        <v>13</v>
      </c>
      <c r="V252" t="s">
        <v>1381</v>
      </c>
    </row>
    <row r="253" spans="1:22" x14ac:dyDescent="0.25">
      <c r="A253" t="s">
        <v>1776</v>
      </c>
      <c r="B253">
        <v>2014</v>
      </c>
      <c r="C253" t="s">
        <v>148</v>
      </c>
      <c r="D253" t="s">
        <v>28</v>
      </c>
      <c r="E253" t="s">
        <v>116</v>
      </c>
      <c r="F253" t="s">
        <v>6</v>
      </c>
      <c r="G253" t="s">
        <v>5</v>
      </c>
      <c r="H253" t="s">
        <v>4</v>
      </c>
      <c r="I253" t="s">
        <v>97</v>
      </c>
      <c r="J253" t="s">
        <v>96</v>
      </c>
      <c r="K253">
        <v>0</v>
      </c>
      <c r="M253">
        <v>0.03</v>
      </c>
      <c r="N253" t="s">
        <v>1775</v>
      </c>
      <c r="P253">
        <v>39525</v>
      </c>
      <c r="Q253">
        <v>1.07</v>
      </c>
      <c r="R253">
        <v>0.89</v>
      </c>
      <c r="S253" t="b">
        <v>0</v>
      </c>
      <c r="T253">
        <v>1</v>
      </c>
      <c r="U253">
        <v>2</v>
      </c>
      <c r="V253" t="s">
        <v>1381</v>
      </c>
    </row>
    <row r="254" spans="1:22" x14ac:dyDescent="0.25">
      <c r="A254" t="s">
        <v>1774</v>
      </c>
      <c r="B254">
        <v>2014</v>
      </c>
      <c r="C254" t="s">
        <v>171</v>
      </c>
      <c r="D254" t="s">
        <v>57</v>
      </c>
      <c r="E254" t="s">
        <v>17</v>
      </c>
      <c r="F254" t="s">
        <v>103</v>
      </c>
      <c r="G254" t="s">
        <v>62</v>
      </c>
      <c r="H254" t="s">
        <v>34</v>
      </c>
      <c r="I254" t="s">
        <v>24</v>
      </c>
      <c r="J254" t="s">
        <v>23</v>
      </c>
      <c r="K254">
        <v>0</v>
      </c>
      <c r="M254">
        <v>0.01</v>
      </c>
      <c r="N254" t="s">
        <v>1773</v>
      </c>
      <c r="P254">
        <v>77948</v>
      </c>
      <c r="Q254">
        <v>-4.3899999999999997</v>
      </c>
      <c r="R254">
        <v>0.69</v>
      </c>
      <c r="S254" t="b">
        <v>0</v>
      </c>
      <c r="T254">
        <v>3</v>
      </c>
      <c r="U254">
        <v>7</v>
      </c>
      <c r="V254" t="s">
        <v>1381</v>
      </c>
    </row>
    <row r="255" spans="1:22" x14ac:dyDescent="0.25">
      <c r="A255" t="s">
        <v>1772</v>
      </c>
      <c r="B255">
        <v>2014</v>
      </c>
      <c r="C255" t="s">
        <v>164</v>
      </c>
      <c r="D255" t="s">
        <v>8</v>
      </c>
      <c r="E255" t="s">
        <v>121</v>
      </c>
      <c r="F255" t="s">
        <v>103</v>
      </c>
      <c r="G255" t="s">
        <v>135</v>
      </c>
      <c r="H255" t="s">
        <v>61</v>
      </c>
      <c r="I255" t="s">
        <v>68</v>
      </c>
      <c r="J255" t="s">
        <v>2</v>
      </c>
      <c r="K255">
        <v>1</v>
      </c>
      <c r="L255" t="s">
        <v>1770</v>
      </c>
      <c r="M255">
        <v>0.78</v>
      </c>
      <c r="N255" t="s">
        <v>1771</v>
      </c>
      <c r="O255" t="s">
        <v>1770</v>
      </c>
      <c r="P255">
        <v>32930</v>
      </c>
      <c r="Q255">
        <v>-1.46</v>
      </c>
      <c r="R255">
        <v>0.27</v>
      </c>
      <c r="S255" t="b">
        <v>1</v>
      </c>
      <c r="T255">
        <v>2</v>
      </c>
      <c r="U255">
        <v>13</v>
      </c>
      <c r="V255" t="s">
        <v>1381</v>
      </c>
    </row>
    <row r="256" spans="1:22" x14ac:dyDescent="0.25">
      <c r="A256" t="s">
        <v>1769</v>
      </c>
      <c r="B256">
        <v>2014</v>
      </c>
      <c r="C256" t="s">
        <v>281</v>
      </c>
      <c r="D256" t="s">
        <v>91</v>
      </c>
      <c r="E256" t="s">
        <v>27</v>
      </c>
      <c r="F256" t="s">
        <v>69</v>
      </c>
      <c r="G256" t="s">
        <v>5</v>
      </c>
      <c r="H256" t="s">
        <v>34</v>
      </c>
      <c r="I256" t="s">
        <v>3</v>
      </c>
      <c r="J256" t="s">
        <v>2</v>
      </c>
      <c r="K256">
        <v>0</v>
      </c>
      <c r="M256">
        <v>0.08</v>
      </c>
      <c r="N256" t="s">
        <v>1768</v>
      </c>
      <c r="P256">
        <v>60168</v>
      </c>
      <c r="Q256">
        <v>-3.26</v>
      </c>
      <c r="R256">
        <v>0.77</v>
      </c>
      <c r="S256" t="b">
        <v>0</v>
      </c>
      <c r="T256">
        <v>3</v>
      </c>
      <c r="U256">
        <v>15</v>
      </c>
      <c r="V256" t="s">
        <v>1381</v>
      </c>
    </row>
    <row r="257" spans="1:22" x14ac:dyDescent="0.25">
      <c r="A257" t="s">
        <v>1767</v>
      </c>
      <c r="B257">
        <v>2014</v>
      </c>
      <c r="C257" t="s">
        <v>86</v>
      </c>
      <c r="D257" t="s">
        <v>131</v>
      </c>
      <c r="E257" t="s">
        <v>116</v>
      </c>
      <c r="F257" t="s">
        <v>108</v>
      </c>
      <c r="G257" t="s">
        <v>62</v>
      </c>
      <c r="H257" t="s">
        <v>15</v>
      </c>
      <c r="I257" t="s">
        <v>68</v>
      </c>
      <c r="J257" t="s">
        <v>23</v>
      </c>
      <c r="K257">
        <v>0</v>
      </c>
      <c r="M257">
        <v>0.05</v>
      </c>
      <c r="N257" t="s">
        <v>1766</v>
      </c>
      <c r="P257">
        <v>36974</v>
      </c>
      <c r="Q257">
        <v>4.8</v>
      </c>
      <c r="R257">
        <v>0.67</v>
      </c>
      <c r="S257" t="b">
        <v>0</v>
      </c>
      <c r="T257">
        <v>3</v>
      </c>
      <c r="U257">
        <v>8</v>
      </c>
      <c r="V257" t="s">
        <v>1381</v>
      </c>
    </row>
    <row r="258" spans="1:22" x14ac:dyDescent="0.25">
      <c r="A258" t="s">
        <v>1765</v>
      </c>
      <c r="B258">
        <v>2014</v>
      </c>
      <c r="C258" t="s">
        <v>164</v>
      </c>
      <c r="D258" t="s">
        <v>8</v>
      </c>
      <c r="E258" t="s">
        <v>116</v>
      </c>
      <c r="F258" t="s">
        <v>41</v>
      </c>
      <c r="G258" t="s">
        <v>135</v>
      </c>
      <c r="H258" t="s">
        <v>49</v>
      </c>
      <c r="I258" t="s">
        <v>14</v>
      </c>
      <c r="J258" t="s">
        <v>23</v>
      </c>
      <c r="K258">
        <v>0</v>
      </c>
      <c r="M258">
        <v>0.13</v>
      </c>
      <c r="N258" t="s">
        <v>1764</v>
      </c>
      <c r="P258">
        <v>22724</v>
      </c>
      <c r="Q258">
        <v>-1.75</v>
      </c>
      <c r="R258">
        <v>0.9</v>
      </c>
      <c r="S258" t="b">
        <v>0</v>
      </c>
      <c r="T258">
        <v>2</v>
      </c>
      <c r="U258">
        <v>10</v>
      </c>
      <c r="V258" t="s">
        <v>1381</v>
      </c>
    </row>
    <row r="259" spans="1:22" x14ac:dyDescent="0.25">
      <c r="A259" t="s">
        <v>1763</v>
      </c>
      <c r="B259">
        <v>2014</v>
      </c>
      <c r="C259" t="s">
        <v>29</v>
      </c>
      <c r="D259" t="s">
        <v>28</v>
      </c>
      <c r="E259" t="s">
        <v>130</v>
      </c>
      <c r="F259" t="s">
        <v>69</v>
      </c>
      <c r="G259" t="s">
        <v>25</v>
      </c>
      <c r="H259" t="s">
        <v>4</v>
      </c>
      <c r="I259" t="s">
        <v>97</v>
      </c>
      <c r="J259" t="s">
        <v>13</v>
      </c>
      <c r="K259">
        <v>1</v>
      </c>
      <c r="L259" t="s">
        <v>110</v>
      </c>
      <c r="M259">
        <v>0.64</v>
      </c>
      <c r="N259" t="s">
        <v>1762</v>
      </c>
      <c r="O259" t="s">
        <v>110</v>
      </c>
      <c r="P259">
        <v>53628</v>
      </c>
      <c r="Q259">
        <v>1.07</v>
      </c>
      <c r="R259">
        <v>0.22</v>
      </c>
      <c r="S259" t="b">
        <v>1</v>
      </c>
      <c r="T259">
        <v>2</v>
      </c>
      <c r="U259">
        <v>19</v>
      </c>
      <c r="V259" t="s">
        <v>1381</v>
      </c>
    </row>
    <row r="260" spans="1:22" x14ac:dyDescent="0.25">
      <c r="A260" t="s">
        <v>1761</v>
      </c>
      <c r="B260">
        <v>2014</v>
      </c>
      <c r="C260" t="s">
        <v>86</v>
      </c>
      <c r="D260" t="s">
        <v>131</v>
      </c>
      <c r="E260" t="s">
        <v>219</v>
      </c>
      <c r="F260" t="s">
        <v>156</v>
      </c>
      <c r="G260" t="s">
        <v>62</v>
      </c>
      <c r="H260" t="s">
        <v>141</v>
      </c>
      <c r="I260" t="s">
        <v>3</v>
      </c>
      <c r="J260" t="s">
        <v>73</v>
      </c>
      <c r="K260">
        <v>0</v>
      </c>
      <c r="M260">
        <v>0.13</v>
      </c>
      <c r="N260" t="s">
        <v>1760</v>
      </c>
      <c r="P260">
        <v>31076</v>
      </c>
      <c r="Q260">
        <v>-3.87</v>
      </c>
      <c r="R260">
        <v>0.82</v>
      </c>
      <c r="S260" t="b">
        <v>0</v>
      </c>
      <c r="T260">
        <v>1</v>
      </c>
      <c r="U260">
        <v>14</v>
      </c>
      <c r="V260" t="s">
        <v>1381</v>
      </c>
    </row>
    <row r="261" spans="1:22" x14ac:dyDescent="0.25">
      <c r="A261" t="s">
        <v>1759</v>
      </c>
      <c r="B261">
        <v>2014</v>
      </c>
      <c r="C261" t="s">
        <v>171</v>
      </c>
      <c r="D261" t="s">
        <v>57</v>
      </c>
      <c r="E261" t="s">
        <v>182</v>
      </c>
      <c r="F261" t="s">
        <v>115</v>
      </c>
      <c r="G261" t="s">
        <v>5</v>
      </c>
      <c r="H261" t="s">
        <v>141</v>
      </c>
      <c r="I261" t="s">
        <v>107</v>
      </c>
      <c r="J261" t="s">
        <v>73</v>
      </c>
      <c r="K261">
        <v>0</v>
      </c>
      <c r="M261">
        <v>0.16</v>
      </c>
      <c r="N261" t="s">
        <v>1758</v>
      </c>
      <c r="P261">
        <v>69102</v>
      </c>
      <c r="Q261">
        <v>2.31</v>
      </c>
      <c r="R261">
        <v>0.79</v>
      </c>
      <c r="S261" t="b">
        <v>0</v>
      </c>
      <c r="T261">
        <v>2</v>
      </c>
      <c r="U261">
        <v>2</v>
      </c>
      <c r="V261" t="s">
        <v>1381</v>
      </c>
    </row>
    <row r="262" spans="1:22" x14ac:dyDescent="0.25">
      <c r="A262" t="s">
        <v>1757</v>
      </c>
      <c r="B262">
        <v>2014</v>
      </c>
      <c r="C262" t="s">
        <v>65</v>
      </c>
      <c r="D262" t="s">
        <v>64</v>
      </c>
      <c r="E262" t="s">
        <v>36</v>
      </c>
      <c r="F262" t="s">
        <v>112</v>
      </c>
      <c r="G262" t="s">
        <v>16</v>
      </c>
      <c r="H262" t="s">
        <v>34</v>
      </c>
      <c r="I262" t="s">
        <v>24</v>
      </c>
      <c r="J262" t="s">
        <v>13</v>
      </c>
      <c r="K262">
        <v>0</v>
      </c>
      <c r="M262">
        <v>0</v>
      </c>
      <c r="N262" t="s">
        <v>1756</v>
      </c>
      <c r="P262">
        <v>78534</v>
      </c>
      <c r="Q262">
        <v>-1.27</v>
      </c>
      <c r="R262">
        <v>0.79</v>
      </c>
      <c r="S262" t="b">
        <v>0</v>
      </c>
      <c r="T262">
        <v>3</v>
      </c>
      <c r="U262">
        <v>13</v>
      </c>
      <c r="V262" t="s">
        <v>1381</v>
      </c>
    </row>
    <row r="263" spans="1:22" x14ac:dyDescent="0.25">
      <c r="A263" t="s">
        <v>1755</v>
      </c>
      <c r="B263">
        <v>2014</v>
      </c>
      <c r="C263" t="s">
        <v>70</v>
      </c>
      <c r="D263" t="s">
        <v>18</v>
      </c>
      <c r="E263" t="s">
        <v>182</v>
      </c>
      <c r="F263" t="s">
        <v>124</v>
      </c>
      <c r="G263" t="s">
        <v>5</v>
      </c>
      <c r="H263" t="s">
        <v>85</v>
      </c>
      <c r="I263" t="s">
        <v>40</v>
      </c>
      <c r="J263" t="s">
        <v>79</v>
      </c>
      <c r="K263">
        <v>0</v>
      </c>
      <c r="M263">
        <v>0.02</v>
      </c>
      <c r="N263" t="s">
        <v>1754</v>
      </c>
      <c r="P263">
        <v>67044</v>
      </c>
      <c r="Q263">
        <v>2.69</v>
      </c>
      <c r="R263">
        <v>0.72</v>
      </c>
      <c r="S263" t="b">
        <v>0</v>
      </c>
      <c r="T263">
        <v>3</v>
      </c>
      <c r="U263">
        <v>11</v>
      </c>
      <c r="V263" t="s">
        <v>1381</v>
      </c>
    </row>
    <row r="264" spans="1:22" x14ac:dyDescent="0.25">
      <c r="A264" t="s">
        <v>1753</v>
      </c>
      <c r="B264">
        <v>2014</v>
      </c>
      <c r="C264" t="s">
        <v>104</v>
      </c>
      <c r="D264" t="s">
        <v>8</v>
      </c>
      <c r="E264" t="s">
        <v>36</v>
      </c>
      <c r="F264" t="s">
        <v>35</v>
      </c>
      <c r="G264" t="s">
        <v>16</v>
      </c>
      <c r="H264" t="s">
        <v>34</v>
      </c>
      <c r="I264" t="s">
        <v>90</v>
      </c>
      <c r="J264" t="s">
        <v>23</v>
      </c>
      <c r="K264">
        <v>0</v>
      </c>
      <c r="M264">
        <v>0.01</v>
      </c>
      <c r="N264" t="s">
        <v>1752</v>
      </c>
      <c r="P264">
        <v>20340</v>
      </c>
      <c r="Q264">
        <v>-0.14000000000000001</v>
      </c>
      <c r="R264">
        <v>0.7</v>
      </c>
      <c r="S264" t="b">
        <v>0</v>
      </c>
      <c r="T264">
        <v>1</v>
      </c>
      <c r="U264">
        <v>7</v>
      </c>
      <c r="V264" t="s">
        <v>1381</v>
      </c>
    </row>
    <row r="265" spans="1:22" x14ac:dyDescent="0.25">
      <c r="A265" t="s">
        <v>1751</v>
      </c>
      <c r="B265">
        <v>2014</v>
      </c>
      <c r="C265" t="s">
        <v>117</v>
      </c>
      <c r="D265" t="s">
        <v>91</v>
      </c>
      <c r="E265" t="s">
        <v>182</v>
      </c>
      <c r="F265" t="s">
        <v>26</v>
      </c>
      <c r="G265" t="s">
        <v>135</v>
      </c>
      <c r="H265" t="s">
        <v>4</v>
      </c>
      <c r="I265" t="s">
        <v>40</v>
      </c>
      <c r="J265" t="s">
        <v>79</v>
      </c>
      <c r="K265">
        <v>0</v>
      </c>
      <c r="M265">
        <v>0.14000000000000001</v>
      </c>
      <c r="N265" t="s">
        <v>1750</v>
      </c>
      <c r="P265">
        <v>49587</v>
      </c>
      <c r="Q265">
        <v>-2.7</v>
      </c>
      <c r="R265">
        <v>0.84</v>
      </c>
      <c r="S265" t="b">
        <v>0</v>
      </c>
      <c r="T265">
        <v>1</v>
      </c>
      <c r="U265">
        <v>1</v>
      </c>
      <c r="V265" t="s">
        <v>1381</v>
      </c>
    </row>
    <row r="266" spans="1:22" x14ac:dyDescent="0.25">
      <c r="A266" t="s">
        <v>1749</v>
      </c>
      <c r="B266">
        <v>2014</v>
      </c>
      <c r="C266" t="s">
        <v>167</v>
      </c>
      <c r="D266" t="s">
        <v>43</v>
      </c>
      <c r="E266" t="s">
        <v>27</v>
      </c>
      <c r="F266" t="s">
        <v>69</v>
      </c>
      <c r="G266" t="s">
        <v>16</v>
      </c>
      <c r="H266" t="s">
        <v>141</v>
      </c>
      <c r="I266" t="s">
        <v>33</v>
      </c>
      <c r="J266" t="s">
        <v>2</v>
      </c>
      <c r="K266">
        <v>0</v>
      </c>
      <c r="M266">
        <v>0.03</v>
      </c>
      <c r="N266" t="s">
        <v>1748</v>
      </c>
      <c r="P266">
        <v>60473</v>
      </c>
      <c r="Q266">
        <v>4.22</v>
      </c>
      <c r="R266">
        <v>0.75</v>
      </c>
      <c r="S266" t="b">
        <v>0</v>
      </c>
      <c r="T266">
        <v>3</v>
      </c>
      <c r="U266">
        <v>4</v>
      </c>
      <c r="V266" t="s">
        <v>1381</v>
      </c>
    </row>
    <row r="267" spans="1:22" x14ac:dyDescent="0.25">
      <c r="A267" t="s">
        <v>1747</v>
      </c>
      <c r="B267">
        <v>2014</v>
      </c>
      <c r="C267" t="s">
        <v>65</v>
      </c>
      <c r="D267" t="s">
        <v>64</v>
      </c>
      <c r="E267" t="s">
        <v>42</v>
      </c>
      <c r="F267" t="s">
        <v>103</v>
      </c>
      <c r="G267" t="s">
        <v>16</v>
      </c>
      <c r="H267" t="s">
        <v>141</v>
      </c>
      <c r="I267" t="s">
        <v>24</v>
      </c>
      <c r="J267" t="s">
        <v>96</v>
      </c>
      <c r="K267">
        <v>0</v>
      </c>
      <c r="M267">
        <v>0.05</v>
      </c>
      <c r="N267" t="s">
        <v>1746</v>
      </c>
      <c r="P267">
        <v>89729</v>
      </c>
      <c r="Q267">
        <v>2.89</v>
      </c>
      <c r="R267">
        <v>0.83</v>
      </c>
      <c r="S267" t="b">
        <v>0</v>
      </c>
      <c r="T267">
        <v>3</v>
      </c>
      <c r="U267">
        <v>9</v>
      </c>
      <c r="V267" t="s">
        <v>1381</v>
      </c>
    </row>
    <row r="268" spans="1:22" x14ac:dyDescent="0.25">
      <c r="A268" t="s">
        <v>1745</v>
      </c>
      <c r="B268">
        <v>2014</v>
      </c>
      <c r="C268" t="s">
        <v>137</v>
      </c>
      <c r="D268" t="s">
        <v>43</v>
      </c>
      <c r="E268" t="s">
        <v>182</v>
      </c>
      <c r="F268" t="s">
        <v>55</v>
      </c>
      <c r="G268" t="s">
        <v>135</v>
      </c>
      <c r="H268" t="s">
        <v>61</v>
      </c>
      <c r="I268" t="s">
        <v>107</v>
      </c>
      <c r="J268" t="s">
        <v>2</v>
      </c>
      <c r="K268">
        <v>0</v>
      </c>
      <c r="M268">
        <v>0.11</v>
      </c>
      <c r="N268" t="s">
        <v>1744</v>
      </c>
      <c r="P268">
        <v>60306</v>
      </c>
      <c r="Q268">
        <v>-4.32</v>
      </c>
      <c r="R268">
        <v>0.76</v>
      </c>
      <c r="S268" t="b">
        <v>0</v>
      </c>
      <c r="T268">
        <v>2</v>
      </c>
      <c r="U268">
        <v>14</v>
      </c>
      <c r="V268" t="s">
        <v>1381</v>
      </c>
    </row>
    <row r="269" spans="1:22" x14ac:dyDescent="0.25">
      <c r="A269" t="s">
        <v>1743</v>
      </c>
      <c r="B269">
        <v>2014</v>
      </c>
      <c r="C269" t="s">
        <v>152</v>
      </c>
      <c r="D269" t="s">
        <v>28</v>
      </c>
      <c r="E269" t="s">
        <v>182</v>
      </c>
      <c r="F269" t="s">
        <v>75</v>
      </c>
      <c r="G269" t="s">
        <v>5</v>
      </c>
      <c r="H269" t="s">
        <v>15</v>
      </c>
      <c r="I269" t="s">
        <v>3</v>
      </c>
      <c r="J269" t="s">
        <v>13</v>
      </c>
      <c r="K269">
        <v>0</v>
      </c>
      <c r="M269">
        <v>0.05</v>
      </c>
      <c r="N269" t="s">
        <v>1742</v>
      </c>
      <c r="P269">
        <v>38496</v>
      </c>
      <c r="Q269">
        <v>1.38</v>
      </c>
      <c r="R269">
        <v>0.66</v>
      </c>
      <c r="S269" t="b">
        <v>0</v>
      </c>
      <c r="T269">
        <v>2</v>
      </c>
      <c r="U269">
        <v>9</v>
      </c>
      <c r="V269" t="s">
        <v>1381</v>
      </c>
    </row>
    <row r="270" spans="1:22" x14ac:dyDescent="0.25">
      <c r="A270" t="s">
        <v>1741</v>
      </c>
      <c r="B270">
        <v>2014</v>
      </c>
      <c r="C270" t="s">
        <v>161</v>
      </c>
      <c r="D270" t="s">
        <v>8</v>
      </c>
      <c r="E270" t="s">
        <v>27</v>
      </c>
      <c r="F270" t="s">
        <v>6</v>
      </c>
      <c r="G270" t="s">
        <v>135</v>
      </c>
      <c r="H270" t="s">
        <v>179</v>
      </c>
      <c r="I270" t="s">
        <v>14</v>
      </c>
      <c r="J270" t="s">
        <v>2</v>
      </c>
      <c r="K270">
        <v>0</v>
      </c>
      <c r="M270">
        <v>0.12</v>
      </c>
      <c r="N270" t="s">
        <v>1740</v>
      </c>
      <c r="P270">
        <v>21294</v>
      </c>
      <c r="Q270">
        <v>-3.79</v>
      </c>
      <c r="R270">
        <v>0.64</v>
      </c>
      <c r="S270" t="b">
        <v>0</v>
      </c>
      <c r="T270">
        <v>2</v>
      </c>
      <c r="U270">
        <v>5</v>
      </c>
      <c r="V270" t="s">
        <v>1381</v>
      </c>
    </row>
    <row r="271" spans="1:22" x14ac:dyDescent="0.25">
      <c r="A271" t="s">
        <v>1739</v>
      </c>
      <c r="B271">
        <v>2014</v>
      </c>
      <c r="C271" t="s">
        <v>407</v>
      </c>
      <c r="D271" t="s">
        <v>131</v>
      </c>
      <c r="E271" t="s">
        <v>7</v>
      </c>
      <c r="F271" t="s">
        <v>112</v>
      </c>
      <c r="G271" t="s">
        <v>5</v>
      </c>
      <c r="H271" t="s">
        <v>85</v>
      </c>
      <c r="I271" t="s">
        <v>14</v>
      </c>
      <c r="J271" t="s">
        <v>2</v>
      </c>
      <c r="K271">
        <v>0</v>
      </c>
      <c r="M271">
        <v>0.02</v>
      </c>
      <c r="N271" t="s">
        <v>1738</v>
      </c>
      <c r="P271">
        <v>35364</v>
      </c>
      <c r="Q271">
        <v>1.6</v>
      </c>
      <c r="R271">
        <v>0.81</v>
      </c>
      <c r="S271" t="b">
        <v>0</v>
      </c>
      <c r="T271">
        <v>3</v>
      </c>
      <c r="U271">
        <v>12</v>
      </c>
      <c r="V271" t="s">
        <v>1381</v>
      </c>
    </row>
    <row r="272" spans="1:22" x14ac:dyDescent="0.25">
      <c r="A272" t="s">
        <v>1737</v>
      </c>
      <c r="B272">
        <v>2014</v>
      </c>
      <c r="C272" t="s">
        <v>157</v>
      </c>
      <c r="D272" t="s">
        <v>18</v>
      </c>
      <c r="E272" t="s">
        <v>147</v>
      </c>
      <c r="F272" t="s">
        <v>41</v>
      </c>
      <c r="G272" t="s">
        <v>135</v>
      </c>
      <c r="H272" t="s">
        <v>49</v>
      </c>
      <c r="I272" t="s">
        <v>40</v>
      </c>
      <c r="J272" t="s">
        <v>96</v>
      </c>
      <c r="K272">
        <v>1</v>
      </c>
      <c r="L272" t="s">
        <v>489</v>
      </c>
      <c r="M272">
        <v>0.87</v>
      </c>
      <c r="N272" t="s">
        <v>1736</v>
      </c>
      <c r="O272" t="s">
        <v>489</v>
      </c>
      <c r="P272">
        <v>74750</v>
      </c>
      <c r="Q272">
        <v>0.33</v>
      </c>
      <c r="R272">
        <v>0.31</v>
      </c>
      <c r="S272" t="b">
        <v>1</v>
      </c>
      <c r="T272">
        <v>3</v>
      </c>
      <c r="U272">
        <v>11</v>
      </c>
      <c r="V272" t="s">
        <v>1381</v>
      </c>
    </row>
    <row r="273" spans="1:22" x14ac:dyDescent="0.25">
      <c r="A273" t="s">
        <v>1735</v>
      </c>
      <c r="B273">
        <v>2014</v>
      </c>
      <c r="C273" t="s">
        <v>333</v>
      </c>
      <c r="D273" t="s">
        <v>28</v>
      </c>
      <c r="E273" t="s">
        <v>36</v>
      </c>
      <c r="F273" t="s">
        <v>69</v>
      </c>
      <c r="G273" t="s">
        <v>16</v>
      </c>
      <c r="H273" t="s">
        <v>102</v>
      </c>
      <c r="I273" t="s">
        <v>24</v>
      </c>
      <c r="J273" t="s">
        <v>96</v>
      </c>
      <c r="K273">
        <v>0</v>
      </c>
      <c r="M273">
        <v>0.14000000000000001</v>
      </c>
      <c r="N273" t="s">
        <v>1734</v>
      </c>
      <c r="P273">
        <v>38963</v>
      </c>
      <c r="Q273">
        <v>1.28</v>
      </c>
      <c r="R273">
        <v>0.68</v>
      </c>
      <c r="S273" t="b">
        <v>0</v>
      </c>
      <c r="T273">
        <v>2</v>
      </c>
      <c r="U273">
        <v>1</v>
      </c>
      <c r="V273" t="s">
        <v>1381</v>
      </c>
    </row>
    <row r="274" spans="1:22" x14ac:dyDescent="0.25">
      <c r="A274" t="s">
        <v>1733</v>
      </c>
      <c r="B274">
        <v>2014</v>
      </c>
      <c r="C274" t="s">
        <v>117</v>
      </c>
      <c r="D274" t="s">
        <v>91</v>
      </c>
      <c r="E274" t="s">
        <v>147</v>
      </c>
      <c r="F274" t="s">
        <v>112</v>
      </c>
      <c r="G274" t="s">
        <v>135</v>
      </c>
      <c r="H274" t="s">
        <v>85</v>
      </c>
      <c r="I274" t="s">
        <v>33</v>
      </c>
      <c r="J274" t="s">
        <v>79</v>
      </c>
      <c r="K274">
        <v>0</v>
      </c>
      <c r="M274">
        <v>0.06</v>
      </c>
      <c r="N274" t="s">
        <v>1732</v>
      </c>
      <c r="P274">
        <v>48401</v>
      </c>
      <c r="Q274">
        <v>-4.2300000000000004</v>
      </c>
      <c r="R274">
        <v>0.61</v>
      </c>
      <c r="S274" t="b">
        <v>0</v>
      </c>
      <c r="T274">
        <v>1</v>
      </c>
      <c r="U274">
        <v>3</v>
      </c>
      <c r="V274" t="s">
        <v>1381</v>
      </c>
    </row>
    <row r="275" spans="1:22" x14ac:dyDescent="0.25">
      <c r="A275" t="s">
        <v>1731</v>
      </c>
      <c r="B275">
        <v>2014</v>
      </c>
      <c r="C275" t="s">
        <v>281</v>
      </c>
      <c r="D275" t="s">
        <v>91</v>
      </c>
      <c r="E275" t="s">
        <v>86</v>
      </c>
      <c r="F275" t="s">
        <v>103</v>
      </c>
      <c r="G275" t="s">
        <v>5</v>
      </c>
      <c r="H275" t="s">
        <v>61</v>
      </c>
      <c r="I275" t="s">
        <v>3</v>
      </c>
      <c r="J275" t="s">
        <v>13</v>
      </c>
      <c r="K275">
        <v>0</v>
      </c>
      <c r="M275">
        <v>0.18</v>
      </c>
      <c r="N275" t="s">
        <v>1730</v>
      </c>
      <c r="P275">
        <v>58089</v>
      </c>
      <c r="Q275">
        <v>1.18</v>
      </c>
      <c r="R275">
        <v>0.73</v>
      </c>
      <c r="S275" t="b">
        <v>0</v>
      </c>
      <c r="T275">
        <v>3</v>
      </c>
      <c r="U275">
        <v>4</v>
      </c>
      <c r="V275" t="s">
        <v>1381</v>
      </c>
    </row>
    <row r="276" spans="1:22" x14ac:dyDescent="0.25">
      <c r="A276" t="s">
        <v>1729</v>
      </c>
      <c r="B276">
        <v>2014</v>
      </c>
      <c r="C276" t="s">
        <v>348</v>
      </c>
      <c r="D276" t="s">
        <v>64</v>
      </c>
      <c r="E276" t="s">
        <v>182</v>
      </c>
      <c r="F276" t="s">
        <v>112</v>
      </c>
      <c r="G276" t="s">
        <v>25</v>
      </c>
      <c r="H276" t="s">
        <v>102</v>
      </c>
      <c r="I276" t="s">
        <v>14</v>
      </c>
      <c r="J276" t="s">
        <v>13</v>
      </c>
      <c r="K276">
        <v>0</v>
      </c>
      <c r="M276">
        <v>0.18</v>
      </c>
      <c r="N276" t="s">
        <v>1728</v>
      </c>
      <c r="P276">
        <v>82462</v>
      </c>
      <c r="Q276">
        <v>-0.87</v>
      </c>
      <c r="R276">
        <v>0.87</v>
      </c>
      <c r="S276" t="b">
        <v>0</v>
      </c>
      <c r="T276">
        <v>3</v>
      </c>
      <c r="U276">
        <v>3</v>
      </c>
      <c r="V276" t="s">
        <v>1381</v>
      </c>
    </row>
    <row r="277" spans="1:22" x14ac:dyDescent="0.25">
      <c r="A277" t="s">
        <v>1727</v>
      </c>
      <c r="B277">
        <v>2014</v>
      </c>
      <c r="C277" t="s">
        <v>58</v>
      </c>
      <c r="D277" t="s">
        <v>57</v>
      </c>
      <c r="E277" t="s">
        <v>130</v>
      </c>
      <c r="F277" t="s">
        <v>35</v>
      </c>
      <c r="G277" t="s">
        <v>5</v>
      </c>
      <c r="H277" t="s">
        <v>85</v>
      </c>
      <c r="I277" t="s">
        <v>68</v>
      </c>
      <c r="J277" t="s">
        <v>73</v>
      </c>
      <c r="K277">
        <v>0</v>
      </c>
      <c r="M277">
        <v>0.12</v>
      </c>
      <c r="N277" t="s">
        <v>1726</v>
      </c>
      <c r="P277">
        <v>78599</v>
      </c>
      <c r="Q277">
        <v>-4.5599999999999996</v>
      </c>
      <c r="R277">
        <v>0.61</v>
      </c>
      <c r="S277" t="b">
        <v>0</v>
      </c>
      <c r="T277">
        <v>1</v>
      </c>
      <c r="U277">
        <v>0</v>
      </c>
      <c r="V277" t="s">
        <v>1381</v>
      </c>
    </row>
    <row r="278" spans="1:22" x14ac:dyDescent="0.25">
      <c r="A278" t="s">
        <v>1725</v>
      </c>
      <c r="B278">
        <v>2014</v>
      </c>
      <c r="C278" t="s">
        <v>104</v>
      </c>
      <c r="D278" t="s">
        <v>8</v>
      </c>
      <c r="E278" t="s">
        <v>121</v>
      </c>
      <c r="F278" t="s">
        <v>35</v>
      </c>
      <c r="G278" t="s">
        <v>25</v>
      </c>
      <c r="H278" t="s">
        <v>141</v>
      </c>
      <c r="I278" t="s">
        <v>40</v>
      </c>
      <c r="J278" t="s">
        <v>96</v>
      </c>
      <c r="K278">
        <v>0</v>
      </c>
      <c r="M278">
        <v>0.02</v>
      </c>
      <c r="N278" t="s">
        <v>1724</v>
      </c>
      <c r="P278">
        <v>19101</v>
      </c>
      <c r="Q278">
        <v>3.52</v>
      </c>
      <c r="R278">
        <v>0.69</v>
      </c>
      <c r="S278" t="b">
        <v>0</v>
      </c>
      <c r="T278">
        <v>3</v>
      </c>
      <c r="U278">
        <v>10</v>
      </c>
      <c r="V278" t="s">
        <v>1381</v>
      </c>
    </row>
    <row r="279" spans="1:22" x14ac:dyDescent="0.25">
      <c r="A279" t="s">
        <v>1723</v>
      </c>
      <c r="B279">
        <v>2014</v>
      </c>
      <c r="C279" t="s">
        <v>267</v>
      </c>
      <c r="D279" t="s">
        <v>43</v>
      </c>
      <c r="E279" t="s">
        <v>36</v>
      </c>
      <c r="F279" t="s">
        <v>156</v>
      </c>
      <c r="G279" t="s">
        <v>5</v>
      </c>
      <c r="H279" t="s">
        <v>179</v>
      </c>
      <c r="I279" t="s">
        <v>107</v>
      </c>
      <c r="J279" t="s">
        <v>96</v>
      </c>
      <c r="K279">
        <v>0</v>
      </c>
      <c r="M279">
        <v>0.19</v>
      </c>
      <c r="N279" t="s">
        <v>1722</v>
      </c>
      <c r="P279">
        <v>62109</v>
      </c>
      <c r="Q279">
        <v>-2.2999999999999998</v>
      </c>
      <c r="R279">
        <v>0.76</v>
      </c>
      <c r="S279" t="b">
        <v>0</v>
      </c>
      <c r="T279">
        <v>1</v>
      </c>
      <c r="U279">
        <v>7</v>
      </c>
      <c r="V279" t="s">
        <v>1381</v>
      </c>
    </row>
    <row r="280" spans="1:22" x14ac:dyDescent="0.25">
      <c r="A280" t="s">
        <v>1721</v>
      </c>
      <c r="B280">
        <v>2014</v>
      </c>
      <c r="C280" t="s">
        <v>171</v>
      </c>
      <c r="D280" t="s">
        <v>57</v>
      </c>
      <c r="E280" t="s">
        <v>182</v>
      </c>
      <c r="F280" t="s">
        <v>35</v>
      </c>
      <c r="G280" t="s">
        <v>25</v>
      </c>
      <c r="H280" t="s">
        <v>61</v>
      </c>
      <c r="I280" t="s">
        <v>3</v>
      </c>
      <c r="J280" t="s">
        <v>13</v>
      </c>
      <c r="K280">
        <v>0</v>
      </c>
      <c r="M280">
        <v>0.2</v>
      </c>
      <c r="N280" t="s">
        <v>1401</v>
      </c>
      <c r="P280">
        <v>75550</v>
      </c>
      <c r="Q280">
        <v>-4.9000000000000004</v>
      </c>
      <c r="R280">
        <v>0.71</v>
      </c>
      <c r="S280" t="b">
        <v>0</v>
      </c>
      <c r="T280">
        <v>2</v>
      </c>
      <c r="U280">
        <v>7</v>
      </c>
      <c r="V280" t="s">
        <v>1381</v>
      </c>
    </row>
    <row r="281" spans="1:22" x14ac:dyDescent="0.25">
      <c r="A281" t="s">
        <v>1720</v>
      </c>
      <c r="B281">
        <v>2014</v>
      </c>
      <c r="C281" t="s">
        <v>92</v>
      </c>
      <c r="D281" t="s">
        <v>91</v>
      </c>
      <c r="E281" t="s">
        <v>219</v>
      </c>
      <c r="F281" t="s">
        <v>124</v>
      </c>
      <c r="G281" t="s">
        <v>16</v>
      </c>
      <c r="H281" t="s">
        <v>102</v>
      </c>
      <c r="I281" t="s">
        <v>68</v>
      </c>
      <c r="J281" t="s">
        <v>79</v>
      </c>
      <c r="K281">
        <v>0</v>
      </c>
      <c r="M281">
        <v>0.03</v>
      </c>
      <c r="N281" t="s">
        <v>1719</v>
      </c>
      <c r="P281">
        <v>50293</v>
      </c>
      <c r="Q281">
        <v>-1.04</v>
      </c>
      <c r="R281">
        <v>0.73</v>
      </c>
      <c r="S281" t="b">
        <v>0</v>
      </c>
      <c r="T281">
        <v>3</v>
      </c>
      <c r="U281">
        <v>6</v>
      </c>
      <c r="V281" t="s">
        <v>1381</v>
      </c>
    </row>
    <row r="282" spans="1:22" x14ac:dyDescent="0.25">
      <c r="A282" t="s">
        <v>1718</v>
      </c>
      <c r="B282">
        <v>2014</v>
      </c>
      <c r="C282" t="s">
        <v>316</v>
      </c>
      <c r="D282" t="s">
        <v>43</v>
      </c>
      <c r="E282" t="s">
        <v>36</v>
      </c>
      <c r="F282" t="s">
        <v>35</v>
      </c>
      <c r="G282" t="s">
        <v>62</v>
      </c>
      <c r="H282" t="s">
        <v>49</v>
      </c>
      <c r="I282" t="s">
        <v>24</v>
      </c>
      <c r="J282" t="s">
        <v>13</v>
      </c>
      <c r="K282">
        <v>0</v>
      </c>
      <c r="M282">
        <v>0.06</v>
      </c>
      <c r="N282" t="s">
        <v>1717</v>
      </c>
      <c r="P282">
        <v>71478</v>
      </c>
      <c r="Q282">
        <v>3.71</v>
      </c>
      <c r="R282">
        <v>0.76</v>
      </c>
      <c r="S282" t="b">
        <v>0</v>
      </c>
      <c r="T282">
        <v>2</v>
      </c>
      <c r="U282">
        <v>15</v>
      </c>
      <c r="V282" t="s">
        <v>1381</v>
      </c>
    </row>
    <row r="283" spans="1:22" x14ac:dyDescent="0.25">
      <c r="A283" t="s">
        <v>1716</v>
      </c>
      <c r="B283">
        <v>2014</v>
      </c>
      <c r="C283" t="s">
        <v>44</v>
      </c>
      <c r="D283" t="s">
        <v>43</v>
      </c>
      <c r="E283" t="s">
        <v>147</v>
      </c>
      <c r="F283" t="s">
        <v>55</v>
      </c>
      <c r="G283" t="s">
        <v>62</v>
      </c>
      <c r="H283" t="s">
        <v>85</v>
      </c>
      <c r="I283" t="s">
        <v>90</v>
      </c>
      <c r="J283" t="s">
        <v>13</v>
      </c>
      <c r="K283">
        <v>0</v>
      </c>
      <c r="M283">
        <v>0.19</v>
      </c>
      <c r="N283" t="s">
        <v>1195</v>
      </c>
      <c r="P283">
        <v>73361</v>
      </c>
      <c r="Q283">
        <v>1.24</v>
      </c>
      <c r="R283">
        <v>0.66</v>
      </c>
      <c r="S283" t="b">
        <v>0</v>
      </c>
      <c r="T283">
        <v>2</v>
      </c>
      <c r="U283">
        <v>0</v>
      </c>
      <c r="V283" t="s">
        <v>1381</v>
      </c>
    </row>
    <row r="284" spans="1:22" x14ac:dyDescent="0.25">
      <c r="A284" t="s">
        <v>1715</v>
      </c>
      <c r="B284">
        <v>2014</v>
      </c>
      <c r="C284" t="s">
        <v>298</v>
      </c>
      <c r="D284" t="s">
        <v>125</v>
      </c>
      <c r="E284" t="s">
        <v>56</v>
      </c>
      <c r="F284" t="s">
        <v>124</v>
      </c>
      <c r="G284" t="s">
        <v>135</v>
      </c>
      <c r="H284" t="s">
        <v>141</v>
      </c>
      <c r="I284" t="s">
        <v>33</v>
      </c>
      <c r="J284" t="s">
        <v>13</v>
      </c>
      <c r="K284">
        <v>0</v>
      </c>
      <c r="M284">
        <v>0.08</v>
      </c>
      <c r="N284" t="s">
        <v>1714</v>
      </c>
      <c r="P284">
        <v>20672</v>
      </c>
      <c r="Q284">
        <v>-3.62</v>
      </c>
      <c r="R284">
        <v>0.68</v>
      </c>
      <c r="S284" t="b">
        <v>0</v>
      </c>
      <c r="T284">
        <v>1</v>
      </c>
      <c r="U284">
        <v>14</v>
      </c>
      <c r="V284" t="s">
        <v>1381</v>
      </c>
    </row>
    <row r="285" spans="1:22" x14ac:dyDescent="0.25">
      <c r="A285" t="s">
        <v>1713</v>
      </c>
      <c r="B285">
        <v>2014</v>
      </c>
      <c r="C285" t="s">
        <v>58</v>
      </c>
      <c r="D285" t="s">
        <v>57</v>
      </c>
      <c r="E285" t="s">
        <v>182</v>
      </c>
      <c r="F285" t="s">
        <v>75</v>
      </c>
      <c r="G285" t="s">
        <v>25</v>
      </c>
      <c r="H285" t="s">
        <v>102</v>
      </c>
      <c r="I285" t="s">
        <v>68</v>
      </c>
      <c r="J285" t="s">
        <v>73</v>
      </c>
      <c r="K285">
        <v>0</v>
      </c>
      <c r="M285">
        <v>0.13</v>
      </c>
      <c r="N285" t="s">
        <v>1712</v>
      </c>
      <c r="P285">
        <v>71785</v>
      </c>
      <c r="Q285">
        <v>-1.8</v>
      </c>
      <c r="R285">
        <v>0.65</v>
      </c>
      <c r="S285" t="b">
        <v>0</v>
      </c>
      <c r="T285">
        <v>2</v>
      </c>
      <c r="U285">
        <v>5</v>
      </c>
      <c r="V285" t="s">
        <v>1381</v>
      </c>
    </row>
    <row r="286" spans="1:22" x14ac:dyDescent="0.25">
      <c r="A286" t="s">
        <v>1711</v>
      </c>
      <c r="B286">
        <v>2014</v>
      </c>
      <c r="C286" t="s">
        <v>9</v>
      </c>
      <c r="D286" t="s">
        <v>8</v>
      </c>
      <c r="E286" t="s">
        <v>121</v>
      </c>
      <c r="F286" t="s">
        <v>156</v>
      </c>
      <c r="G286" t="s">
        <v>5</v>
      </c>
      <c r="H286" t="s">
        <v>15</v>
      </c>
      <c r="I286" t="s">
        <v>14</v>
      </c>
      <c r="J286" t="s">
        <v>73</v>
      </c>
      <c r="K286">
        <v>0</v>
      </c>
      <c r="M286">
        <v>0.14000000000000001</v>
      </c>
      <c r="N286" t="s">
        <v>1710</v>
      </c>
      <c r="P286">
        <v>19234</v>
      </c>
      <c r="Q286">
        <v>-2.3199999999999998</v>
      </c>
      <c r="R286">
        <v>0.66</v>
      </c>
      <c r="S286" t="b">
        <v>0</v>
      </c>
      <c r="T286">
        <v>2</v>
      </c>
      <c r="U286">
        <v>12</v>
      </c>
      <c r="V286" t="s">
        <v>1381</v>
      </c>
    </row>
    <row r="287" spans="1:22" x14ac:dyDescent="0.25">
      <c r="A287" t="s">
        <v>1709</v>
      </c>
      <c r="B287">
        <v>2014</v>
      </c>
      <c r="C287" t="s">
        <v>176</v>
      </c>
      <c r="D287" t="s">
        <v>64</v>
      </c>
      <c r="E287" t="s">
        <v>116</v>
      </c>
      <c r="F287" t="s">
        <v>69</v>
      </c>
      <c r="G287" t="s">
        <v>25</v>
      </c>
      <c r="H287" t="s">
        <v>49</v>
      </c>
      <c r="I287" t="s">
        <v>3</v>
      </c>
      <c r="J287" t="s">
        <v>79</v>
      </c>
      <c r="K287">
        <v>0</v>
      </c>
      <c r="M287">
        <v>0.04</v>
      </c>
      <c r="N287" t="s">
        <v>1708</v>
      </c>
      <c r="P287">
        <v>80885</v>
      </c>
      <c r="Q287">
        <v>-1.88</v>
      </c>
      <c r="R287">
        <v>0.7</v>
      </c>
      <c r="S287" t="b">
        <v>0</v>
      </c>
      <c r="T287">
        <v>2</v>
      </c>
      <c r="U287">
        <v>13</v>
      </c>
      <c r="V287" t="s">
        <v>1381</v>
      </c>
    </row>
    <row r="288" spans="1:22" x14ac:dyDescent="0.25">
      <c r="A288" t="s">
        <v>1707</v>
      </c>
      <c r="B288">
        <v>2014</v>
      </c>
      <c r="C288" t="s">
        <v>152</v>
      </c>
      <c r="D288" t="s">
        <v>28</v>
      </c>
      <c r="E288" t="s">
        <v>36</v>
      </c>
      <c r="F288" t="s">
        <v>69</v>
      </c>
      <c r="G288" t="s">
        <v>16</v>
      </c>
      <c r="H288" t="s">
        <v>85</v>
      </c>
      <c r="I288" t="s">
        <v>3</v>
      </c>
      <c r="J288" t="s">
        <v>23</v>
      </c>
      <c r="K288">
        <v>0</v>
      </c>
      <c r="M288">
        <v>0.01</v>
      </c>
      <c r="N288" t="s">
        <v>1706</v>
      </c>
      <c r="P288">
        <v>40476</v>
      </c>
      <c r="Q288">
        <v>1.89</v>
      </c>
      <c r="R288">
        <v>0.72</v>
      </c>
      <c r="S288" t="b">
        <v>0</v>
      </c>
      <c r="T288">
        <v>1</v>
      </c>
      <c r="U288">
        <v>18</v>
      </c>
      <c r="V288" t="s">
        <v>1381</v>
      </c>
    </row>
    <row r="289" spans="1:22" x14ac:dyDescent="0.25">
      <c r="A289" t="s">
        <v>1705</v>
      </c>
      <c r="B289">
        <v>2014</v>
      </c>
      <c r="C289" t="s">
        <v>81</v>
      </c>
      <c r="D289" t="s">
        <v>28</v>
      </c>
      <c r="E289" t="s">
        <v>7</v>
      </c>
      <c r="F289" t="s">
        <v>156</v>
      </c>
      <c r="G289" t="s">
        <v>135</v>
      </c>
      <c r="H289" t="s">
        <v>179</v>
      </c>
      <c r="I289" t="s">
        <v>107</v>
      </c>
      <c r="J289" t="s">
        <v>79</v>
      </c>
      <c r="K289">
        <v>0</v>
      </c>
      <c r="M289">
        <v>7.0000000000000007E-2</v>
      </c>
      <c r="N289" t="s">
        <v>1704</v>
      </c>
      <c r="P289">
        <v>36650</v>
      </c>
      <c r="Q289">
        <v>1.75</v>
      </c>
      <c r="R289">
        <v>0.86</v>
      </c>
      <c r="S289" t="b">
        <v>0</v>
      </c>
      <c r="T289">
        <v>2</v>
      </c>
      <c r="U289">
        <v>11</v>
      </c>
      <c r="V289" t="s">
        <v>1381</v>
      </c>
    </row>
    <row r="290" spans="1:22" x14ac:dyDescent="0.25">
      <c r="A290" t="s">
        <v>1703</v>
      </c>
      <c r="B290">
        <v>2014</v>
      </c>
      <c r="C290" t="s">
        <v>176</v>
      </c>
      <c r="D290" t="s">
        <v>64</v>
      </c>
      <c r="E290" t="s">
        <v>182</v>
      </c>
      <c r="F290" t="s">
        <v>136</v>
      </c>
      <c r="G290" t="s">
        <v>62</v>
      </c>
      <c r="H290" t="s">
        <v>141</v>
      </c>
      <c r="I290" t="s">
        <v>74</v>
      </c>
      <c r="J290" t="s">
        <v>96</v>
      </c>
      <c r="K290">
        <v>1</v>
      </c>
      <c r="L290" t="s">
        <v>387</v>
      </c>
      <c r="M290">
        <v>0.56999999999999995</v>
      </c>
      <c r="N290" t="s">
        <v>1702</v>
      </c>
      <c r="O290" t="s">
        <v>387</v>
      </c>
      <c r="P290">
        <v>116867</v>
      </c>
      <c r="Q290">
        <v>0.68</v>
      </c>
      <c r="R290">
        <v>0.19</v>
      </c>
      <c r="S290" t="b">
        <v>1</v>
      </c>
      <c r="T290">
        <v>3</v>
      </c>
      <c r="U290">
        <v>7</v>
      </c>
      <c r="V290" t="s">
        <v>1381</v>
      </c>
    </row>
    <row r="291" spans="1:22" x14ac:dyDescent="0.25">
      <c r="A291" t="s">
        <v>1701</v>
      </c>
      <c r="B291">
        <v>2014</v>
      </c>
      <c r="C291" t="s">
        <v>58</v>
      </c>
      <c r="D291" t="s">
        <v>57</v>
      </c>
      <c r="E291" t="s">
        <v>116</v>
      </c>
      <c r="F291" t="s">
        <v>69</v>
      </c>
      <c r="G291" t="s">
        <v>16</v>
      </c>
      <c r="H291" t="s">
        <v>34</v>
      </c>
      <c r="I291" t="s">
        <v>14</v>
      </c>
      <c r="J291" t="s">
        <v>2</v>
      </c>
      <c r="K291">
        <v>0</v>
      </c>
      <c r="M291">
        <v>0.15</v>
      </c>
      <c r="N291" t="s">
        <v>48</v>
      </c>
      <c r="P291">
        <v>73358</v>
      </c>
      <c r="Q291">
        <v>2.8</v>
      </c>
      <c r="R291">
        <v>0.77</v>
      </c>
      <c r="S291" t="b">
        <v>0</v>
      </c>
      <c r="T291">
        <v>1</v>
      </c>
      <c r="U291">
        <v>19</v>
      </c>
      <c r="V291" t="s">
        <v>1381</v>
      </c>
    </row>
    <row r="292" spans="1:22" x14ac:dyDescent="0.25">
      <c r="A292" t="s">
        <v>1700</v>
      </c>
      <c r="B292">
        <v>2014</v>
      </c>
      <c r="C292" t="s">
        <v>311</v>
      </c>
      <c r="D292" t="s">
        <v>125</v>
      </c>
      <c r="E292" t="s">
        <v>27</v>
      </c>
      <c r="F292" t="s">
        <v>112</v>
      </c>
      <c r="G292" t="s">
        <v>25</v>
      </c>
      <c r="H292" t="s">
        <v>141</v>
      </c>
      <c r="I292" t="s">
        <v>40</v>
      </c>
      <c r="J292" t="s">
        <v>73</v>
      </c>
      <c r="K292">
        <v>0</v>
      </c>
      <c r="M292">
        <v>0.04</v>
      </c>
      <c r="N292" t="s">
        <v>1699</v>
      </c>
      <c r="P292">
        <v>17431</v>
      </c>
      <c r="Q292">
        <v>4.6900000000000004</v>
      </c>
      <c r="R292">
        <v>0.72</v>
      </c>
      <c r="S292" t="b">
        <v>0</v>
      </c>
      <c r="T292">
        <v>3</v>
      </c>
      <c r="U292">
        <v>17</v>
      </c>
      <c r="V292" t="s">
        <v>1381</v>
      </c>
    </row>
    <row r="293" spans="1:22" x14ac:dyDescent="0.25">
      <c r="A293" t="s">
        <v>1698</v>
      </c>
      <c r="B293">
        <v>2014</v>
      </c>
      <c r="C293" t="s">
        <v>413</v>
      </c>
      <c r="D293" t="s">
        <v>8</v>
      </c>
      <c r="E293" t="s">
        <v>86</v>
      </c>
      <c r="F293" t="s">
        <v>108</v>
      </c>
      <c r="G293" t="s">
        <v>25</v>
      </c>
      <c r="H293" t="s">
        <v>49</v>
      </c>
      <c r="I293" t="s">
        <v>3</v>
      </c>
      <c r="J293" t="s">
        <v>23</v>
      </c>
      <c r="K293">
        <v>0</v>
      </c>
      <c r="M293">
        <v>0.11</v>
      </c>
      <c r="N293" t="s">
        <v>1697</v>
      </c>
      <c r="P293">
        <v>19744</v>
      </c>
      <c r="Q293">
        <v>3.26</v>
      </c>
      <c r="R293">
        <v>0.67</v>
      </c>
      <c r="S293" t="b">
        <v>0</v>
      </c>
      <c r="T293">
        <v>3</v>
      </c>
      <c r="U293">
        <v>13</v>
      </c>
      <c r="V293" t="s">
        <v>1381</v>
      </c>
    </row>
    <row r="294" spans="1:22" x14ac:dyDescent="0.25">
      <c r="A294" t="s">
        <v>1696</v>
      </c>
      <c r="B294">
        <v>2014</v>
      </c>
      <c r="C294" t="s">
        <v>29</v>
      </c>
      <c r="D294" t="s">
        <v>28</v>
      </c>
      <c r="E294" t="s">
        <v>42</v>
      </c>
      <c r="F294" t="s">
        <v>75</v>
      </c>
      <c r="G294" t="s">
        <v>135</v>
      </c>
      <c r="H294" t="s">
        <v>49</v>
      </c>
      <c r="I294" t="s">
        <v>74</v>
      </c>
      <c r="J294" t="s">
        <v>23</v>
      </c>
      <c r="K294">
        <v>1</v>
      </c>
      <c r="L294" t="s">
        <v>38</v>
      </c>
      <c r="M294">
        <v>0.83</v>
      </c>
      <c r="N294" t="s">
        <v>1695</v>
      </c>
      <c r="O294" t="s">
        <v>38</v>
      </c>
      <c r="P294">
        <v>60867</v>
      </c>
      <c r="Q294">
        <v>-4.9000000000000004</v>
      </c>
      <c r="R294">
        <v>0.1</v>
      </c>
      <c r="S294" t="b">
        <v>1</v>
      </c>
      <c r="T294">
        <v>1</v>
      </c>
      <c r="U294">
        <v>2</v>
      </c>
      <c r="V294" t="s">
        <v>1381</v>
      </c>
    </row>
    <row r="295" spans="1:22" x14ac:dyDescent="0.25">
      <c r="A295" t="s">
        <v>1694</v>
      </c>
      <c r="B295">
        <v>2014</v>
      </c>
      <c r="C295" t="s">
        <v>81</v>
      </c>
      <c r="D295" t="s">
        <v>28</v>
      </c>
      <c r="E295" t="s">
        <v>27</v>
      </c>
      <c r="F295" t="s">
        <v>136</v>
      </c>
      <c r="G295" t="s">
        <v>62</v>
      </c>
      <c r="H295" t="s">
        <v>102</v>
      </c>
      <c r="I295" t="s">
        <v>90</v>
      </c>
      <c r="J295" t="s">
        <v>23</v>
      </c>
      <c r="K295">
        <v>0</v>
      </c>
      <c r="M295">
        <v>0.16</v>
      </c>
      <c r="N295" t="s">
        <v>1693</v>
      </c>
      <c r="P295">
        <v>41287</v>
      </c>
      <c r="Q295">
        <v>-1.05</v>
      </c>
      <c r="R295">
        <v>0.76</v>
      </c>
      <c r="S295" t="b">
        <v>0</v>
      </c>
      <c r="T295">
        <v>1</v>
      </c>
      <c r="U295">
        <v>1</v>
      </c>
      <c r="V295" t="s">
        <v>1381</v>
      </c>
    </row>
    <row r="296" spans="1:22" x14ac:dyDescent="0.25">
      <c r="A296" t="s">
        <v>1692</v>
      </c>
      <c r="B296">
        <v>2014</v>
      </c>
      <c r="C296" t="s">
        <v>126</v>
      </c>
      <c r="D296" t="s">
        <v>125</v>
      </c>
      <c r="E296" t="s">
        <v>130</v>
      </c>
      <c r="F296" t="s">
        <v>156</v>
      </c>
      <c r="G296" t="s">
        <v>25</v>
      </c>
      <c r="H296" t="s">
        <v>179</v>
      </c>
      <c r="I296" t="s">
        <v>40</v>
      </c>
      <c r="J296" t="s">
        <v>96</v>
      </c>
      <c r="K296">
        <v>0</v>
      </c>
      <c r="M296">
        <v>0.08</v>
      </c>
      <c r="N296" t="s">
        <v>1691</v>
      </c>
      <c r="P296">
        <v>20333</v>
      </c>
      <c r="Q296">
        <v>0.9</v>
      </c>
      <c r="R296">
        <v>0.88</v>
      </c>
      <c r="S296" t="b">
        <v>0</v>
      </c>
      <c r="T296">
        <v>1</v>
      </c>
      <c r="U296">
        <v>13</v>
      </c>
      <c r="V296" t="s">
        <v>1381</v>
      </c>
    </row>
    <row r="297" spans="1:22" x14ac:dyDescent="0.25">
      <c r="A297" t="s">
        <v>1690</v>
      </c>
      <c r="B297">
        <v>2014</v>
      </c>
      <c r="C297" t="s">
        <v>29</v>
      </c>
      <c r="D297" t="s">
        <v>28</v>
      </c>
      <c r="E297" t="s">
        <v>50</v>
      </c>
      <c r="F297" t="s">
        <v>26</v>
      </c>
      <c r="G297" t="s">
        <v>16</v>
      </c>
      <c r="H297" t="s">
        <v>49</v>
      </c>
      <c r="I297" t="s">
        <v>107</v>
      </c>
      <c r="J297" t="s">
        <v>13</v>
      </c>
      <c r="K297">
        <v>0</v>
      </c>
      <c r="M297">
        <v>0.01</v>
      </c>
      <c r="N297" t="s">
        <v>1689</v>
      </c>
      <c r="P297">
        <v>42379</v>
      </c>
      <c r="Q297">
        <v>2.58</v>
      </c>
      <c r="R297">
        <v>0.68</v>
      </c>
      <c r="S297" t="b">
        <v>0</v>
      </c>
      <c r="T297">
        <v>1</v>
      </c>
      <c r="U297">
        <v>11</v>
      </c>
      <c r="V297" t="s">
        <v>1381</v>
      </c>
    </row>
    <row r="298" spans="1:22" x14ac:dyDescent="0.25">
      <c r="A298" t="s">
        <v>1688</v>
      </c>
      <c r="B298">
        <v>2014</v>
      </c>
      <c r="C298" t="s">
        <v>245</v>
      </c>
      <c r="D298" t="s">
        <v>125</v>
      </c>
      <c r="E298" t="s">
        <v>130</v>
      </c>
      <c r="F298" t="s">
        <v>124</v>
      </c>
      <c r="G298" t="s">
        <v>62</v>
      </c>
      <c r="H298" t="s">
        <v>102</v>
      </c>
      <c r="I298" t="s">
        <v>74</v>
      </c>
      <c r="J298" t="s">
        <v>13</v>
      </c>
      <c r="K298">
        <v>0</v>
      </c>
      <c r="M298">
        <v>0.08</v>
      </c>
      <c r="N298" t="s">
        <v>1687</v>
      </c>
      <c r="P298">
        <v>18004</v>
      </c>
      <c r="Q298">
        <v>1.59</v>
      </c>
      <c r="R298">
        <v>0.65</v>
      </c>
      <c r="S298" t="b">
        <v>0</v>
      </c>
      <c r="T298">
        <v>3</v>
      </c>
      <c r="U298">
        <v>8</v>
      </c>
      <c r="V298" t="s">
        <v>1381</v>
      </c>
    </row>
    <row r="299" spans="1:22" x14ac:dyDescent="0.25">
      <c r="A299" t="s">
        <v>1686</v>
      </c>
      <c r="B299">
        <v>2014</v>
      </c>
      <c r="C299" t="s">
        <v>183</v>
      </c>
      <c r="D299" t="s">
        <v>131</v>
      </c>
      <c r="E299" t="s">
        <v>86</v>
      </c>
      <c r="F299" t="s">
        <v>26</v>
      </c>
      <c r="G299" t="s">
        <v>62</v>
      </c>
      <c r="H299" t="s">
        <v>4</v>
      </c>
      <c r="I299" t="s">
        <v>74</v>
      </c>
      <c r="J299" t="s">
        <v>96</v>
      </c>
      <c r="K299">
        <v>0</v>
      </c>
      <c r="M299">
        <v>0.04</v>
      </c>
      <c r="N299" t="s">
        <v>1685</v>
      </c>
      <c r="P299">
        <v>38581</v>
      </c>
      <c r="Q299">
        <v>-4.62</v>
      </c>
      <c r="R299">
        <v>0.79</v>
      </c>
      <c r="S299" t="b">
        <v>0</v>
      </c>
      <c r="T299">
        <v>3</v>
      </c>
      <c r="U299">
        <v>11</v>
      </c>
      <c r="V299" t="s">
        <v>1381</v>
      </c>
    </row>
    <row r="300" spans="1:22" x14ac:dyDescent="0.25">
      <c r="A300" t="s">
        <v>1684</v>
      </c>
      <c r="B300">
        <v>2014</v>
      </c>
      <c r="C300" t="s">
        <v>311</v>
      </c>
      <c r="D300" t="s">
        <v>125</v>
      </c>
      <c r="E300" t="s">
        <v>116</v>
      </c>
      <c r="F300" t="s">
        <v>69</v>
      </c>
      <c r="G300" t="s">
        <v>25</v>
      </c>
      <c r="H300" t="s">
        <v>141</v>
      </c>
      <c r="I300" t="s">
        <v>97</v>
      </c>
      <c r="J300" t="s">
        <v>2</v>
      </c>
      <c r="K300">
        <v>0</v>
      </c>
      <c r="M300">
        <v>0.16</v>
      </c>
      <c r="N300" t="s">
        <v>1683</v>
      </c>
      <c r="P300">
        <v>22157</v>
      </c>
      <c r="Q300">
        <v>-2.78</v>
      </c>
      <c r="R300">
        <v>0.88</v>
      </c>
      <c r="S300" t="b">
        <v>0</v>
      </c>
      <c r="T300">
        <v>3</v>
      </c>
      <c r="U300">
        <v>15</v>
      </c>
      <c r="V300" t="s">
        <v>1381</v>
      </c>
    </row>
    <row r="301" spans="1:22" x14ac:dyDescent="0.25">
      <c r="A301" t="s">
        <v>1682</v>
      </c>
      <c r="B301">
        <v>2014</v>
      </c>
      <c r="C301" t="s">
        <v>117</v>
      </c>
      <c r="D301" t="s">
        <v>91</v>
      </c>
      <c r="E301" t="s">
        <v>182</v>
      </c>
      <c r="F301" t="s">
        <v>136</v>
      </c>
      <c r="G301" t="s">
        <v>62</v>
      </c>
      <c r="H301" t="s">
        <v>15</v>
      </c>
      <c r="I301" t="s">
        <v>107</v>
      </c>
      <c r="J301" t="s">
        <v>96</v>
      </c>
      <c r="K301">
        <v>0</v>
      </c>
      <c r="M301">
        <v>0.2</v>
      </c>
      <c r="N301" t="s">
        <v>1681</v>
      </c>
      <c r="P301">
        <v>62605</v>
      </c>
      <c r="Q301">
        <v>-2.2000000000000002</v>
      </c>
      <c r="R301">
        <v>0.79</v>
      </c>
      <c r="S301" t="b">
        <v>0</v>
      </c>
      <c r="T301">
        <v>1</v>
      </c>
      <c r="U301">
        <v>2</v>
      </c>
      <c r="V301" t="s">
        <v>1381</v>
      </c>
    </row>
    <row r="302" spans="1:22" x14ac:dyDescent="0.25">
      <c r="A302" t="s">
        <v>1680</v>
      </c>
      <c r="B302">
        <v>2014</v>
      </c>
      <c r="C302" t="s">
        <v>287</v>
      </c>
      <c r="D302" t="s">
        <v>43</v>
      </c>
      <c r="E302" t="s">
        <v>147</v>
      </c>
      <c r="F302" t="s">
        <v>63</v>
      </c>
      <c r="G302" t="s">
        <v>25</v>
      </c>
      <c r="H302" t="s">
        <v>179</v>
      </c>
      <c r="I302" t="s">
        <v>14</v>
      </c>
      <c r="J302" t="s">
        <v>13</v>
      </c>
      <c r="K302">
        <v>0</v>
      </c>
      <c r="M302">
        <v>0.14000000000000001</v>
      </c>
      <c r="N302" t="s">
        <v>1679</v>
      </c>
      <c r="P302">
        <v>75651</v>
      </c>
      <c r="Q302">
        <v>-2.12</v>
      </c>
      <c r="R302">
        <v>0.88</v>
      </c>
      <c r="S302" t="b">
        <v>0</v>
      </c>
      <c r="T302">
        <v>3</v>
      </c>
      <c r="U302">
        <v>4</v>
      </c>
      <c r="V302" t="s">
        <v>1381</v>
      </c>
    </row>
    <row r="303" spans="1:22" x14ac:dyDescent="0.25">
      <c r="A303" t="s">
        <v>1678</v>
      </c>
      <c r="B303">
        <v>2014</v>
      </c>
      <c r="C303" t="s">
        <v>348</v>
      </c>
      <c r="D303" t="s">
        <v>64</v>
      </c>
      <c r="E303" t="s">
        <v>219</v>
      </c>
      <c r="F303" t="s">
        <v>115</v>
      </c>
      <c r="G303" t="s">
        <v>16</v>
      </c>
      <c r="H303" t="s">
        <v>4</v>
      </c>
      <c r="I303" t="s">
        <v>33</v>
      </c>
      <c r="J303" t="s">
        <v>23</v>
      </c>
      <c r="K303">
        <v>0</v>
      </c>
      <c r="M303">
        <v>0.02</v>
      </c>
      <c r="N303" t="s">
        <v>1677</v>
      </c>
      <c r="P303">
        <v>82793</v>
      </c>
      <c r="Q303">
        <v>2</v>
      </c>
      <c r="R303">
        <v>0.74</v>
      </c>
      <c r="S303" t="b">
        <v>0</v>
      </c>
      <c r="T303">
        <v>2</v>
      </c>
      <c r="U303">
        <v>3</v>
      </c>
      <c r="V303" t="s">
        <v>1381</v>
      </c>
    </row>
    <row r="304" spans="1:22" x14ac:dyDescent="0.25">
      <c r="A304" t="s">
        <v>1676</v>
      </c>
      <c r="B304">
        <v>2014</v>
      </c>
      <c r="C304" t="s">
        <v>70</v>
      </c>
      <c r="D304" t="s">
        <v>18</v>
      </c>
      <c r="E304" t="s">
        <v>86</v>
      </c>
      <c r="F304" t="s">
        <v>115</v>
      </c>
      <c r="G304" t="s">
        <v>5</v>
      </c>
      <c r="H304" t="s">
        <v>4</v>
      </c>
      <c r="I304" t="s">
        <v>24</v>
      </c>
      <c r="J304" t="s">
        <v>96</v>
      </c>
      <c r="K304">
        <v>0</v>
      </c>
      <c r="M304">
        <v>0.06</v>
      </c>
      <c r="N304" t="s">
        <v>1675</v>
      </c>
      <c r="P304">
        <v>54363</v>
      </c>
      <c r="Q304">
        <v>1.33</v>
      </c>
      <c r="R304">
        <v>0.78</v>
      </c>
      <c r="S304" t="b">
        <v>0</v>
      </c>
      <c r="T304">
        <v>1</v>
      </c>
      <c r="U304">
        <v>14</v>
      </c>
      <c r="V304" t="s">
        <v>1381</v>
      </c>
    </row>
    <row r="305" spans="1:22" x14ac:dyDescent="0.25">
      <c r="A305" t="s">
        <v>1674</v>
      </c>
      <c r="B305">
        <v>2014</v>
      </c>
      <c r="C305" t="s">
        <v>148</v>
      </c>
      <c r="D305" t="s">
        <v>28</v>
      </c>
      <c r="E305" t="s">
        <v>50</v>
      </c>
      <c r="F305" t="s">
        <v>136</v>
      </c>
      <c r="G305" t="s">
        <v>16</v>
      </c>
      <c r="H305" t="s">
        <v>85</v>
      </c>
      <c r="I305" t="s">
        <v>14</v>
      </c>
      <c r="J305" t="s">
        <v>23</v>
      </c>
      <c r="K305">
        <v>0</v>
      </c>
      <c r="M305">
        <v>0.12</v>
      </c>
      <c r="N305" t="s">
        <v>1673</v>
      </c>
      <c r="P305">
        <v>44373</v>
      </c>
      <c r="Q305">
        <v>-0.64</v>
      </c>
      <c r="R305">
        <v>0.65</v>
      </c>
      <c r="S305" t="b">
        <v>0</v>
      </c>
      <c r="T305">
        <v>3</v>
      </c>
      <c r="U305">
        <v>11</v>
      </c>
      <c r="V305" t="s">
        <v>1381</v>
      </c>
    </row>
    <row r="306" spans="1:22" x14ac:dyDescent="0.25">
      <c r="A306" t="s">
        <v>1672</v>
      </c>
      <c r="B306">
        <v>2014</v>
      </c>
      <c r="C306" t="s">
        <v>267</v>
      </c>
      <c r="D306" t="s">
        <v>43</v>
      </c>
      <c r="E306" t="s">
        <v>121</v>
      </c>
      <c r="F306" t="s">
        <v>124</v>
      </c>
      <c r="G306" t="s">
        <v>16</v>
      </c>
      <c r="H306" t="s">
        <v>61</v>
      </c>
      <c r="I306" t="s">
        <v>3</v>
      </c>
      <c r="J306" t="s">
        <v>96</v>
      </c>
      <c r="K306">
        <v>0</v>
      </c>
      <c r="M306">
        <v>0.19</v>
      </c>
      <c r="N306" t="s">
        <v>1671</v>
      </c>
      <c r="P306">
        <v>62275</v>
      </c>
      <c r="Q306">
        <v>2.86</v>
      </c>
      <c r="R306">
        <v>0.8</v>
      </c>
      <c r="S306" t="b">
        <v>0</v>
      </c>
      <c r="T306">
        <v>3</v>
      </c>
      <c r="U306">
        <v>15</v>
      </c>
      <c r="V306" t="s">
        <v>1381</v>
      </c>
    </row>
    <row r="307" spans="1:22" x14ac:dyDescent="0.25">
      <c r="A307" t="s">
        <v>1670</v>
      </c>
      <c r="B307">
        <v>2014</v>
      </c>
      <c r="C307" t="s">
        <v>413</v>
      </c>
      <c r="D307" t="s">
        <v>8</v>
      </c>
      <c r="E307" t="s">
        <v>17</v>
      </c>
      <c r="F307" t="s">
        <v>156</v>
      </c>
      <c r="G307" t="s">
        <v>5</v>
      </c>
      <c r="H307" t="s">
        <v>34</v>
      </c>
      <c r="I307" t="s">
        <v>14</v>
      </c>
      <c r="J307" t="s">
        <v>2</v>
      </c>
      <c r="K307">
        <v>0</v>
      </c>
      <c r="M307">
        <v>0.1</v>
      </c>
      <c r="N307" t="s">
        <v>1669</v>
      </c>
      <c r="P307">
        <v>25571</v>
      </c>
      <c r="Q307">
        <v>-0.3</v>
      </c>
      <c r="R307">
        <v>0.63</v>
      </c>
      <c r="S307" t="b">
        <v>0</v>
      </c>
      <c r="T307">
        <v>1</v>
      </c>
      <c r="U307">
        <v>12</v>
      </c>
      <c r="V307" t="s">
        <v>1381</v>
      </c>
    </row>
    <row r="308" spans="1:22" x14ac:dyDescent="0.25">
      <c r="A308" t="s">
        <v>1668</v>
      </c>
      <c r="B308">
        <v>2014</v>
      </c>
      <c r="C308" t="s">
        <v>236</v>
      </c>
      <c r="D308" t="s">
        <v>131</v>
      </c>
      <c r="E308" t="s">
        <v>50</v>
      </c>
      <c r="F308" t="s">
        <v>80</v>
      </c>
      <c r="G308" t="s">
        <v>135</v>
      </c>
      <c r="H308" t="s">
        <v>4</v>
      </c>
      <c r="I308" t="s">
        <v>90</v>
      </c>
      <c r="J308" t="s">
        <v>73</v>
      </c>
      <c r="K308">
        <v>0</v>
      </c>
      <c r="M308">
        <v>0.19</v>
      </c>
      <c r="N308" t="s">
        <v>1667</v>
      </c>
      <c r="P308">
        <v>38460</v>
      </c>
      <c r="Q308">
        <v>4.82</v>
      </c>
      <c r="R308">
        <v>0.64</v>
      </c>
      <c r="S308" t="b">
        <v>0</v>
      </c>
      <c r="T308">
        <v>3</v>
      </c>
      <c r="U308">
        <v>5</v>
      </c>
      <c r="V308" t="s">
        <v>1381</v>
      </c>
    </row>
    <row r="309" spans="1:22" x14ac:dyDescent="0.25">
      <c r="A309" t="s">
        <v>1666</v>
      </c>
      <c r="B309">
        <v>2014</v>
      </c>
      <c r="C309" t="s">
        <v>126</v>
      </c>
      <c r="D309" t="s">
        <v>125</v>
      </c>
      <c r="E309" t="s">
        <v>147</v>
      </c>
      <c r="F309" t="s">
        <v>63</v>
      </c>
      <c r="G309" t="s">
        <v>135</v>
      </c>
      <c r="H309" t="s">
        <v>141</v>
      </c>
      <c r="I309" t="s">
        <v>24</v>
      </c>
      <c r="J309" t="s">
        <v>2</v>
      </c>
      <c r="K309">
        <v>0</v>
      </c>
      <c r="M309">
        <v>0.05</v>
      </c>
      <c r="N309" t="s">
        <v>1665</v>
      </c>
      <c r="P309">
        <v>17960</v>
      </c>
      <c r="Q309">
        <v>-3.66</v>
      </c>
      <c r="R309">
        <v>0.72</v>
      </c>
      <c r="S309" t="b">
        <v>0</v>
      </c>
      <c r="T309">
        <v>2</v>
      </c>
      <c r="U309">
        <v>14</v>
      </c>
      <c r="V309" t="s">
        <v>1381</v>
      </c>
    </row>
    <row r="310" spans="1:22" x14ac:dyDescent="0.25">
      <c r="A310" t="s">
        <v>1664</v>
      </c>
      <c r="B310">
        <v>2014</v>
      </c>
      <c r="C310" t="s">
        <v>152</v>
      </c>
      <c r="D310" t="s">
        <v>28</v>
      </c>
      <c r="E310" t="s">
        <v>116</v>
      </c>
      <c r="F310" t="s">
        <v>6</v>
      </c>
      <c r="G310" t="s">
        <v>135</v>
      </c>
      <c r="H310" t="s">
        <v>141</v>
      </c>
      <c r="I310" t="s">
        <v>74</v>
      </c>
      <c r="J310" t="s">
        <v>79</v>
      </c>
      <c r="K310">
        <v>0</v>
      </c>
      <c r="M310">
        <v>0.05</v>
      </c>
      <c r="N310" t="s">
        <v>1663</v>
      </c>
      <c r="P310">
        <v>40479</v>
      </c>
      <c r="Q310">
        <v>-4.01</v>
      </c>
      <c r="R310">
        <v>0.76</v>
      </c>
      <c r="S310" t="b">
        <v>0</v>
      </c>
      <c r="T310">
        <v>3</v>
      </c>
      <c r="U310">
        <v>0</v>
      </c>
      <c r="V310" t="s">
        <v>1381</v>
      </c>
    </row>
    <row r="311" spans="1:22" x14ac:dyDescent="0.25">
      <c r="A311" t="s">
        <v>1662</v>
      </c>
      <c r="B311">
        <v>2014</v>
      </c>
      <c r="C311" t="s">
        <v>245</v>
      </c>
      <c r="D311" t="s">
        <v>125</v>
      </c>
      <c r="E311" t="s">
        <v>36</v>
      </c>
      <c r="F311" t="s">
        <v>108</v>
      </c>
      <c r="G311" t="s">
        <v>16</v>
      </c>
      <c r="H311" t="s">
        <v>4</v>
      </c>
      <c r="I311" t="s">
        <v>40</v>
      </c>
      <c r="J311" t="s">
        <v>2</v>
      </c>
      <c r="K311">
        <v>0</v>
      </c>
      <c r="M311">
        <v>0.01</v>
      </c>
      <c r="N311" t="s">
        <v>1661</v>
      </c>
      <c r="P311">
        <v>21473</v>
      </c>
      <c r="Q311">
        <v>-0.28000000000000003</v>
      </c>
      <c r="R311">
        <v>0.88</v>
      </c>
      <c r="S311" t="b">
        <v>0</v>
      </c>
      <c r="T311">
        <v>2</v>
      </c>
      <c r="U311">
        <v>10</v>
      </c>
      <c r="V311" t="s">
        <v>1381</v>
      </c>
    </row>
    <row r="312" spans="1:22" x14ac:dyDescent="0.25">
      <c r="A312" t="s">
        <v>1660</v>
      </c>
      <c r="B312">
        <v>2014</v>
      </c>
      <c r="C312" t="s">
        <v>164</v>
      </c>
      <c r="D312" t="s">
        <v>8</v>
      </c>
      <c r="E312" t="s">
        <v>182</v>
      </c>
      <c r="F312" t="s">
        <v>55</v>
      </c>
      <c r="G312" t="s">
        <v>16</v>
      </c>
      <c r="H312" t="s">
        <v>141</v>
      </c>
      <c r="I312" t="s">
        <v>3</v>
      </c>
      <c r="J312" t="s">
        <v>23</v>
      </c>
      <c r="K312">
        <v>0</v>
      </c>
      <c r="M312">
        <v>0.01</v>
      </c>
      <c r="N312" t="s">
        <v>1659</v>
      </c>
      <c r="P312">
        <v>20004</v>
      </c>
      <c r="Q312">
        <v>-0.59</v>
      </c>
      <c r="R312">
        <v>0.78</v>
      </c>
      <c r="S312" t="b">
        <v>0</v>
      </c>
      <c r="T312">
        <v>1</v>
      </c>
      <c r="U312">
        <v>10</v>
      </c>
      <c r="V312" t="s">
        <v>1381</v>
      </c>
    </row>
    <row r="313" spans="1:22" x14ac:dyDescent="0.25">
      <c r="A313" t="s">
        <v>1658</v>
      </c>
      <c r="B313">
        <v>2014</v>
      </c>
      <c r="C313" t="s">
        <v>58</v>
      </c>
      <c r="D313" t="s">
        <v>57</v>
      </c>
      <c r="E313" t="s">
        <v>56</v>
      </c>
      <c r="F313" t="s">
        <v>124</v>
      </c>
      <c r="G313" t="s">
        <v>135</v>
      </c>
      <c r="H313" t="s">
        <v>15</v>
      </c>
      <c r="I313" t="s">
        <v>40</v>
      </c>
      <c r="J313" t="s">
        <v>13</v>
      </c>
      <c r="K313">
        <v>1</v>
      </c>
      <c r="L313" t="s">
        <v>1656</v>
      </c>
      <c r="M313">
        <v>0.51</v>
      </c>
      <c r="N313" t="s">
        <v>1657</v>
      </c>
      <c r="O313" t="s">
        <v>1656</v>
      </c>
      <c r="P313">
        <v>90738</v>
      </c>
      <c r="Q313">
        <v>3.57</v>
      </c>
      <c r="R313">
        <v>0.36</v>
      </c>
      <c r="S313" t="b">
        <v>1</v>
      </c>
      <c r="T313">
        <v>3</v>
      </c>
      <c r="U313">
        <v>13</v>
      </c>
      <c r="V313" t="s">
        <v>1381</v>
      </c>
    </row>
    <row r="314" spans="1:22" x14ac:dyDescent="0.25">
      <c r="A314" t="s">
        <v>1655</v>
      </c>
      <c r="B314">
        <v>2014</v>
      </c>
      <c r="C314" t="s">
        <v>348</v>
      </c>
      <c r="D314" t="s">
        <v>64</v>
      </c>
      <c r="E314" t="s">
        <v>50</v>
      </c>
      <c r="F314" t="s">
        <v>108</v>
      </c>
      <c r="G314" t="s">
        <v>16</v>
      </c>
      <c r="H314" t="s">
        <v>85</v>
      </c>
      <c r="I314" t="s">
        <v>90</v>
      </c>
      <c r="J314" t="s">
        <v>73</v>
      </c>
      <c r="K314">
        <v>0</v>
      </c>
      <c r="M314">
        <v>0.14000000000000001</v>
      </c>
      <c r="N314" t="s">
        <v>1654</v>
      </c>
      <c r="P314">
        <v>79319</v>
      </c>
      <c r="Q314">
        <v>-4.08</v>
      </c>
      <c r="R314">
        <v>0.75</v>
      </c>
      <c r="S314" t="b">
        <v>0</v>
      </c>
      <c r="T314">
        <v>1</v>
      </c>
      <c r="U314">
        <v>16</v>
      </c>
      <c r="V314" t="s">
        <v>1381</v>
      </c>
    </row>
    <row r="315" spans="1:22" x14ac:dyDescent="0.25">
      <c r="A315" t="s">
        <v>1653</v>
      </c>
      <c r="B315">
        <v>2014</v>
      </c>
      <c r="C315" t="s">
        <v>148</v>
      </c>
      <c r="D315" t="s">
        <v>28</v>
      </c>
      <c r="E315" t="s">
        <v>36</v>
      </c>
      <c r="F315" t="s">
        <v>124</v>
      </c>
      <c r="G315" t="s">
        <v>62</v>
      </c>
      <c r="H315" t="s">
        <v>141</v>
      </c>
      <c r="I315" t="s">
        <v>90</v>
      </c>
      <c r="J315" t="s">
        <v>13</v>
      </c>
      <c r="K315">
        <v>0</v>
      </c>
      <c r="M315">
        <v>0.02</v>
      </c>
      <c r="N315" t="s">
        <v>1652</v>
      </c>
      <c r="P315">
        <v>38243</v>
      </c>
      <c r="Q315">
        <v>-4.3099999999999996</v>
      </c>
      <c r="R315">
        <v>0.65</v>
      </c>
      <c r="S315" t="b">
        <v>0</v>
      </c>
      <c r="T315">
        <v>3</v>
      </c>
      <c r="U315">
        <v>5</v>
      </c>
      <c r="V315" t="s">
        <v>1381</v>
      </c>
    </row>
    <row r="316" spans="1:22" x14ac:dyDescent="0.25">
      <c r="A316" t="s">
        <v>1651</v>
      </c>
      <c r="B316">
        <v>2014</v>
      </c>
      <c r="C316" t="s">
        <v>117</v>
      </c>
      <c r="D316" t="s">
        <v>91</v>
      </c>
      <c r="E316" t="s">
        <v>27</v>
      </c>
      <c r="F316" t="s">
        <v>136</v>
      </c>
      <c r="G316" t="s">
        <v>5</v>
      </c>
      <c r="H316" t="s">
        <v>34</v>
      </c>
      <c r="I316" t="s">
        <v>40</v>
      </c>
      <c r="J316" t="s">
        <v>73</v>
      </c>
      <c r="K316">
        <v>0</v>
      </c>
      <c r="M316">
        <v>0.03</v>
      </c>
      <c r="N316" t="s">
        <v>1650</v>
      </c>
      <c r="P316">
        <v>61447</v>
      </c>
      <c r="Q316">
        <v>-1.0900000000000001</v>
      </c>
      <c r="R316">
        <v>0.61</v>
      </c>
      <c r="S316" t="b">
        <v>0</v>
      </c>
      <c r="T316">
        <v>1</v>
      </c>
      <c r="U316">
        <v>13</v>
      </c>
      <c r="V316" t="s">
        <v>1381</v>
      </c>
    </row>
    <row r="317" spans="1:22" x14ac:dyDescent="0.25">
      <c r="A317" t="s">
        <v>1649</v>
      </c>
      <c r="B317">
        <v>2014</v>
      </c>
      <c r="C317" t="s">
        <v>58</v>
      </c>
      <c r="D317" t="s">
        <v>57</v>
      </c>
      <c r="E317" t="s">
        <v>182</v>
      </c>
      <c r="F317" t="s">
        <v>156</v>
      </c>
      <c r="G317" t="s">
        <v>25</v>
      </c>
      <c r="H317" t="s">
        <v>85</v>
      </c>
      <c r="I317" t="s">
        <v>24</v>
      </c>
      <c r="J317" t="s">
        <v>73</v>
      </c>
      <c r="K317">
        <v>0</v>
      </c>
      <c r="M317">
        <v>0.1</v>
      </c>
      <c r="N317" t="s">
        <v>1648</v>
      </c>
      <c r="P317">
        <v>66693</v>
      </c>
      <c r="Q317">
        <v>-4.9000000000000004</v>
      </c>
      <c r="R317">
        <v>0.87</v>
      </c>
      <c r="S317" t="b">
        <v>0</v>
      </c>
      <c r="T317">
        <v>1</v>
      </c>
      <c r="U317">
        <v>12</v>
      </c>
      <c r="V317" t="s">
        <v>1381</v>
      </c>
    </row>
    <row r="318" spans="1:22" x14ac:dyDescent="0.25">
      <c r="A318" t="s">
        <v>1647</v>
      </c>
      <c r="B318">
        <v>2015</v>
      </c>
      <c r="C318" t="s">
        <v>92</v>
      </c>
      <c r="D318" t="s">
        <v>91</v>
      </c>
      <c r="E318" t="s">
        <v>86</v>
      </c>
      <c r="F318" t="s">
        <v>124</v>
      </c>
      <c r="G318" t="s">
        <v>62</v>
      </c>
      <c r="H318" t="s">
        <v>61</v>
      </c>
      <c r="I318" t="s">
        <v>24</v>
      </c>
      <c r="J318" t="s">
        <v>96</v>
      </c>
      <c r="K318">
        <v>0</v>
      </c>
      <c r="M318">
        <v>0.04</v>
      </c>
      <c r="N318" t="s">
        <v>1646</v>
      </c>
      <c r="P318">
        <v>62045</v>
      </c>
      <c r="Q318">
        <v>-3.98</v>
      </c>
      <c r="R318">
        <v>0.71</v>
      </c>
      <c r="S318" t="b">
        <v>0</v>
      </c>
      <c r="T318">
        <v>3</v>
      </c>
      <c r="U318">
        <v>19</v>
      </c>
      <c r="V318" t="s">
        <v>1381</v>
      </c>
    </row>
    <row r="319" spans="1:22" x14ac:dyDescent="0.25">
      <c r="A319" t="s">
        <v>1645</v>
      </c>
      <c r="B319">
        <v>2015</v>
      </c>
      <c r="C319" t="s">
        <v>44</v>
      </c>
      <c r="D319" t="s">
        <v>43</v>
      </c>
      <c r="E319" t="s">
        <v>42</v>
      </c>
      <c r="F319" t="s">
        <v>55</v>
      </c>
      <c r="G319" t="s">
        <v>5</v>
      </c>
      <c r="H319" t="s">
        <v>15</v>
      </c>
      <c r="I319" t="s">
        <v>24</v>
      </c>
      <c r="J319" t="s">
        <v>73</v>
      </c>
      <c r="K319">
        <v>0</v>
      </c>
      <c r="M319">
        <v>0.19</v>
      </c>
      <c r="N319" t="s">
        <v>1644</v>
      </c>
      <c r="P319">
        <v>72894</v>
      </c>
      <c r="Q319">
        <v>-2.8</v>
      </c>
      <c r="R319">
        <v>0.7</v>
      </c>
      <c r="S319" t="b">
        <v>0</v>
      </c>
      <c r="T319">
        <v>1</v>
      </c>
      <c r="U319">
        <v>15</v>
      </c>
      <c r="V319" t="s">
        <v>1381</v>
      </c>
    </row>
    <row r="320" spans="1:22" x14ac:dyDescent="0.25">
      <c r="A320" t="s">
        <v>1643</v>
      </c>
      <c r="B320">
        <v>2015</v>
      </c>
      <c r="C320" t="s">
        <v>382</v>
      </c>
      <c r="D320" t="s">
        <v>125</v>
      </c>
      <c r="E320" t="s">
        <v>56</v>
      </c>
      <c r="F320" t="s">
        <v>63</v>
      </c>
      <c r="G320" t="s">
        <v>5</v>
      </c>
      <c r="H320" t="s">
        <v>49</v>
      </c>
      <c r="I320" t="s">
        <v>24</v>
      </c>
      <c r="J320" t="s">
        <v>96</v>
      </c>
      <c r="K320">
        <v>0</v>
      </c>
      <c r="M320">
        <v>0.17</v>
      </c>
      <c r="N320" t="s">
        <v>1642</v>
      </c>
      <c r="P320">
        <v>18976</v>
      </c>
      <c r="Q320">
        <v>3.17</v>
      </c>
      <c r="R320">
        <v>0.74</v>
      </c>
      <c r="S320" t="b">
        <v>0</v>
      </c>
      <c r="T320">
        <v>1</v>
      </c>
      <c r="U320">
        <v>8</v>
      </c>
      <c r="V320" t="s">
        <v>1381</v>
      </c>
    </row>
    <row r="321" spans="1:22" x14ac:dyDescent="0.25">
      <c r="A321" t="s">
        <v>1641</v>
      </c>
      <c r="B321">
        <v>2015</v>
      </c>
      <c r="C321" t="s">
        <v>171</v>
      </c>
      <c r="D321" t="s">
        <v>57</v>
      </c>
      <c r="E321" t="s">
        <v>147</v>
      </c>
      <c r="F321" t="s">
        <v>63</v>
      </c>
      <c r="G321" t="s">
        <v>5</v>
      </c>
      <c r="H321" t="s">
        <v>85</v>
      </c>
      <c r="I321" t="s">
        <v>97</v>
      </c>
      <c r="J321" t="s">
        <v>23</v>
      </c>
      <c r="K321">
        <v>0</v>
      </c>
      <c r="M321">
        <v>0.06</v>
      </c>
      <c r="N321" t="s">
        <v>1640</v>
      </c>
      <c r="P321">
        <v>83056</v>
      </c>
      <c r="Q321">
        <v>3.04</v>
      </c>
      <c r="R321">
        <v>0.74</v>
      </c>
      <c r="S321" t="b">
        <v>0</v>
      </c>
      <c r="T321">
        <v>1</v>
      </c>
      <c r="U321">
        <v>14</v>
      </c>
      <c r="V321" t="s">
        <v>1381</v>
      </c>
    </row>
    <row r="322" spans="1:22" x14ac:dyDescent="0.25">
      <c r="A322" t="s">
        <v>1639</v>
      </c>
      <c r="B322">
        <v>2015</v>
      </c>
      <c r="C322" t="s">
        <v>382</v>
      </c>
      <c r="D322" t="s">
        <v>125</v>
      </c>
      <c r="E322" t="s">
        <v>121</v>
      </c>
      <c r="F322" t="s">
        <v>63</v>
      </c>
      <c r="G322" t="s">
        <v>25</v>
      </c>
      <c r="H322" t="s">
        <v>49</v>
      </c>
      <c r="I322" t="s">
        <v>33</v>
      </c>
      <c r="J322" t="s">
        <v>2</v>
      </c>
      <c r="K322">
        <v>0</v>
      </c>
      <c r="M322">
        <v>0.11</v>
      </c>
      <c r="N322" t="s">
        <v>1638</v>
      </c>
      <c r="P322">
        <v>18799</v>
      </c>
      <c r="Q322">
        <v>2.76</v>
      </c>
      <c r="R322">
        <v>0.71</v>
      </c>
      <c r="S322" t="b">
        <v>0</v>
      </c>
      <c r="T322">
        <v>1</v>
      </c>
      <c r="U322">
        <v>5</v>
      </c>
      <c r="V322" t="s">
        <v>1381</v>
      </c>
    </row>
    <row r="323" spans="1:22" x14ac:dyDescent="0.25">
      <c r="A323" t="s">
        <v>1637</v>
      </c>
      <c r="B323">
        <v>2015</v>
      </c>
      <c r="C323" t="s">
        <v>164</v>
      </c>
      <c r="D323" t="s">
        <v>8</v>
      </c>
      <c r="E323" t="s">
        <v>36</v>
      </c>
      <c r="F323" t="s">
        <v>124</v>
      </c>
      <c r="G323" t="s">
        <v>135</v>
      </c>
      <c r="H323" t="s">
        <v>102</v>
      </c>
      <c r="I323" t="s">
        <v>97</v>
      </c>
      <c r="J323" t="s">
        <v>23</v>
      </c>
      <c r="K323">
        <v>0</v>
      </c>
      <c r="M323">
        <v>0.14000000000000001</v>
      </c>
      <c r="N323" t="s">
        <v>1636</v>
      </c>
      <c r="P323">
        <v>22573</v>
      </c>
      <c r="Q323">
        <v>-3.74</v>
      </c>
      <c r="R323">
        <v>0.67</v>
      </c>
      <c r="S323" t="b">
        <v>0</v>
      </c>
      <c r="T323">
        <v>2</v>
      </c>
      <c r="U323">
        <v>11</v>
      </c>
      <c r="V323" t="s">
        <v>1381</v>
      </c>
    </row>
    <row r="324" spans="1:22" x14ac:dyDescent="0.25">
      <c r="A324" t="s">
        <v>1635</v>
      </c>
      <c r="B324">
        <v>2015</v>
      </c>
      <c r="C324" t="s">
        <v>58</v>
      </c>
      <c r="D324" t="s">
        <v>57</v>
      </c>
      <c r="E324" t="s">
        <v>121</v>
      </c>
      <c r="F324" t="s">
        <v>80</v>
      </c>
      <c r="G324" t="s">
        <v>135</v>
      </c>
      <c r="H324" t="s">
        <v>4</v>
      </c>
      <c r="I324" t="s">
        <v>24</v>
      </c>
      <c r="J324" t="s">
        <v>96</v>
      </c>
      <c r="K324">
        <v>0</v>
      </c>
      <c r="M324">
        <v>0.14000000000000001</v>
      </c>
      <c r="N324" t="s">
        <v>1634</v>
      </c>
      <c r="P324">
        <v>77107</v>
      </c>
      <c r="Q324">
        <v>3.43</v>
      </c>
      <c r="R324">
        <v>0.77</v>
      </c>
      <c r="S324" t="b">
        <v>0</v>
      </c>
      <c r="T324">
        <v>3</v>
      </c>
      <c r="U324">
        <v>9</v>
      </c>
      <c r="V324" t="s">
        <v>1381</v>
      </c>
    </row>
    <row r="325" spans="1:22" x14ac:dyDescent="0.25">
      <c r="A325" t="s">
        <v>1633</v>
      </c>
      <c r="B325">
        <v>2015</v>
      </c>
      <c r="C325" t="s">
        <v>51</v>
      </c>
      <c r="D325" t="s">
        <v>18</v>
      </c>
      <c r="E325" t="s">
        <v>86</v>
      </c>
      <c r="F325" t="s">
        <v>75</v>
      </c>
      <c r="G325" t="s">
        <v>5</v>
      </c>
      <c r="H325" t="s">
        <v>4</v>
      </c>
      <c r="I325" t="s">
        <v>3</v>
      </c>
      <c r="J325" t="s">
        <v>96</v>
      </c>
      <c r="K325">
        <v>0</v>
      </c>
      <c r="M325">
        <v>0.05</v>
      </c>
      <c r="N325" t="s">
        <v>1632</v>
      </c>
      <c r="P325">
        <v>58710</v>
      </c>
      <c r="Q325">
        <v>-2.64</v>
      </c>
      <c r="R325">
        <v>0.83</v>
      </c>
      <c r="S325" t="b">
        <v>0</v>
      </c>
      <c r="T325">
        <v>1</v>
      </c>
      <c r="U325">
        <v>12</v>
      </c>
      <c r="V325" t="s">
        <v>1381</v>
      </c>
    </row>
    <row r="326" spans="1:22" x14ac:dyDescent="0.25">
      <c r="A326" t="s">
        <v>1631</v>
      </c>
      <c r="B326">
        <v>2015</v>
      </c>
      <c r="C326" t="s">
        <v>19</v>
      </c>
      <c r="D326" t="s">
        <v>18</v>
      </c>
      <c r="E326" t="s">
        <v>219</v>
      </c>
      <c r="F326" t="s">
        <v>35</v>
      </c>
      <c r="G326" t="s">
        <v>62</v>
      </c>
      <c r="H326" t="s">
        <v>102</v>
      </c>
      <c r="I326" t="s">
        <v>74</v>
      </c>
      <c r="J326" t="s">
        <v>13</v>
      </c>
      <c r="K326">
        <v>0</v>
      </c>
      <c r="M326">
        <v>0.01</v>
      </c>
      <c r="N326" t="s">
        <v>1630</v>
      </c>
      <c r="P326">
        <v>69145</v>
      </c>
      <c r="Q326">
        <v>-2.19</v>
      </c>
      <c r="R326">
        <v>0.84</v>
      </c>
      <c r="S326" t="b">
        <v>0</v>
      </c>
      <c r="T326">
        <v>1</v>
      </c>
      <c r="U326">
        <v>18</v>
      </c>
      <c r="V326" t="s">
        <v>1381</v>
      </c>
    </row>
    <row r="327" spans="1:22" x14ac:dyDescent="0.25">
      <c r="A327" t="s">
        <v>1629</v>
      </c>
      <c r="B327">
        <v>2015</v>
      </c>
      <c r="C327" t="s">
        <v>19</v>
      </c>
      <c r="D327" t="s">
        <v>18</v>
      </c>
      <c r="E327" t="s">
        <v>182</v>
      </c>
      <c r="F327" t="s">
        <v>35</v>
      </c>
      <c r="G327" t="s">
        <v>135</v>
      </c>
      <c r="H327" t="s">
        <v>4</v>
      </c>
      <c r="I327" t="s">
        <v>90</v>
      </c>
      <c r="J327" t="s">
        <v>2</v>
      </c>
      <c r="K327">
        <v>0</v>
      </c>
      <c r="M327">
        <v>0.16</v>
      </c>
      <c r="N327" t="s">
        <v>1628</v>
      </c>
      <c r="P327">
        <v>66999</v>
      </c>
      <c r="Q327">
        <v>4.1399999999999997</v>
      </c>
      <c r="R327">
        <v>0.61</v>
      </c>
      <c r="S327" t="b">
        <v>0</v>
      </c>
      <c r="T327">
        <v>1</v>
      </c>
      <c r="U327">
        <v>7</v>
      </c>
      <c r="V327" t="s">
        <v>1381</v>
      </c>
    </row>
    <row r="328" spans="1:22" x14ac:dyDescent="0.25">
      <c r="A328" t="s">
        <v>1627</v>
      </c>
      <c r="B328">
        <v>2015</v>
      </c>
      <c r="C328" t="s">
        <v>51</v>
      </c>
      <c r="D328" t="s">
        <v>18</v>
      </c>
      <c r="E328" t="s">
        <v>130</v>
      </c>
      <c r="F328" t="s">
        <v>124</v>
      </c>
      <c r="G328" t="s">
        <v>25</v>
      </c>
      <c r="H328" t="s">
        <v>179</v>
      </c>
      <c r="I328" t="s">
        <v>74</v>
      </c>
      <c r="J328" t="s">
        <v>96</v>
      </c>
      <c r="K328">
        <v>0</v>
      </c>
      <c r="M328">
        <v>0.11</v>
      </c>
      <c r="N328" t="s">
        <v>1626</v>
      </c>
      <c r="P328">
        <v>71536</v>
      </c>
      <c r="Q328">
        <v>-3.59</v>
      </c>
      <c r="R328">
        <v>0.82</v>
      </c>
      <c r="S328" t="b">
        <v>0</v>
      </c>
      <c r="T328">
        <v>2</v>
      </c>
      <c r="U328">
        <v>6</v>
      </c>
      <c r="V328" t="s">
        <v>1381</v>
      </c>
    </row>
    <row r="329" spans="1:22" x14ac:dyDescent="0.25">
      <c r="A329" t="s">
        <v>1625</v>
      </c>
      <c r="B329">
        <v>2015</v>
      </c>
      <c r="C329" t="s">
        <v>171</v>
      </c>
      <c r="D329" t="s">
        <v>57</v>
      </c>
      <c r="E329" t="s">
        <v>36</v>
      </c>
      <c r="F329" t="s">
        <v>6</v>
      </c>
      <c r="G329" t="s">
        <v>16</v>
      </c>
      <c r="H329" t="s">
        <v>49</v>
      </c>
      <c r="I329" t="s">
        <v>40</v>
      </c>
      <c r="J329" t="s">
        <v>73</v>
      </c>
      <c r="K329">
        <v>0</v>
      </c>
      <c r="M329">
        <v>0.06</v>
      </c>
      <c r="N329" t="s">
        <v>1624</v>
      </c>
      <c r="P329">
        <v>79859</v>
      </c>
      <c r="Q329">
        <v>0.96</v>
      </c>
      <c r="R329">
        <v>0.7</v>
      </c>
      <c r="S329" t="b">
        <v>0</v>
      </c>
      <c r="T329">
        <v>1</v>
      </c>
      <c r="U329">
        <v>4</v>
      </c>
      <c r="V329" t="s">
        <v>1381</v>
      </c>
    </row>
    <row r="330" spans="1:22" x14ac:dyDescent="0.25">
      <c r="A330" t="s">
        <v>1623</v>
      </c>
      <c r="B330">
        <v>2015</v>
      </c>
      <c r="C330" t="s">
        <v>29</v>
      </c>
      <c r="D330" t="s">
        <v>28</v>
      </c>
      <c r="E330" t="s">
        <v>36</v>
      </c>
      <c r="F330" t="s">
        <v>80</v>
      </c>
      <c r="G330" t="s">
        <v>25</v>
      </c>
      <c r="H330" t="s">
        <v>85</v>
      </c>
      <c r="I330" t="s">
        <v>90</v>
      </c>
      <c r="J330" t="s">
        <v>13</v>
      </c>
      <c r="K330">
        <v>1</v>
      </c>
      <c r="L330" t="s">
        <v>747</v>
      </c>
      <c r="M330">
        <v>0.61</v>
      </c>
      <c r="N330" t="s">
        <v>1622</v>
      </c>
      <c r="O330" t="s">
        <v>747</v>
      </c>
      <c r="P330">
        <v>58551</v>
      </c>
      <c r="Q330">
        <v>-0.67</v>
      </c>
      <c r="R330">
        <v>0.11</v>
      </c>
      <c r="S330" t="b">
        <v>1</v>
      </c>
      <c r="T330">
        <v>2</v>
      </c>
      <c r="U330">
        <v>9</v>
      </c>
      <c r="V330" t="s">
        <v>1381</v>
      </c>
    </row>
    <row r="331" spans="1:22" x14ac:dyDescent="0.25">
      <c r="A331" t="s">
        <v>1621</v>
      </c>
      <c r="B331">
        <v>2015</v>
      </c>
      <c r="C331" t="s">
        <v>220</v>
      </c>
      <c r="D331" t="s">
        <v>91</v>
      </c>
      <c r="E331" t="s">
        <v>130</v>
      </c>
      <c r="F331" t="s">
        <v>136</v>
      </c>
      <c r="G331" t="s">
        <v>5</v>
      </c>
      <c r="H331" t="s">
        <v>61</v>
      </c>
      <c r="I331" t="s">
        <v>107</v>
      </c>
      <c r="J331" t="s">
        <v>79</v>
      </c>
      <c r="K331">
        <v>0</v>
      </c>
      <c r="M331">
        <v>0.13</v>
      </c>
      <c r="N331" t="s">
        <v>1620</v>
      </c>
      <c r="P331">
        <v>63286</v>
      </c>
      <c r="Q331">
        <v>0.17</v>
      </c>
      <c r="R331">
        <v>0.71</v>
      </c>
      <c r="S331" t="b">
        <v>0</v>
      </c>
      <c r="T331">
        <v>1</v>
      </c>
      <c r="U331">
        <v>16</v>
      </c>
      <c r="V331" t="s">
        <v>1381</v>
      </c>
    </row>
    <row r="332" spans="1:22" x14ac:dyDescent="0.25">
      <c r="A332" t="s">
        <v>1619</v>
      </c>
      <c r="B332">
        <v>2015</v>
      </c>
      <c r="C332" t="s">
        <v>137</v>
      </c>
      <c r="D332" t="s">
        <v>43</v>
      </c>
      <c r="E332" t="s">
        <v>116</v>
      </c>
      <c r="F332" t="s">
        <v>103</v>
      </c>
      <c r="G332" t="s">
        <v>5</v>
      </c>
      <c r="H332" t="s">
        <v>179</v>
      </c>
      <c r="I332" t="s">
        <v>90</v>
      </c>
      <c r="J332" t="s">
        <v>13</v>
      </c>
      <c r="K332">
        <v>0</v>
      </c>
      <c r="M332">
        <v>0.01</v>
      </c>
      <c r="N332" t="s">
        <v>1618</v>
      </c>
      <c r="P332">
        <v>66478</v>
      </c>
      <c r="Q332">
        <v>-3.68</v>
      </c>
      <c r="R332">
        <v>0.6</v>
      </c>
      <c r="S332" t="b">
        <v>0</v>
      </c>
      <c r="T332">
        <v>2</v>
      </c>
      <c r="U332">
        <v>4</v>
      </c>
      <c r="V332" t="s">
        <v>1381</v>
      </c>
    </row>
    <row r="333" spans="1:22" x14ac:dyDescent="0.25">
      <c r="A333" t="s">
        <v>1617</v>
      </c>
      <c r="B333">
        <v>2015</v>
      </c>
      <c r="C333" t="s">
        <v>29</v>
      </c>
      <c r="D333" t="s">
        <v>28</v>
      </c>
      <c r="E333" t="s">
        <v>219</v>
      </c>
      <c r="F333" t="s">
        <v>41</v>
      </c>
      <c r="G333" t="s">
        <v>135</v>
      </c>
      <c r="H333" t="s">
        <v>179</v>
      </c>
      <c r="I333" t="s">
        <v>97</v>
      </c>
      <c r="J333" t="s">
        <v>2</v>
      </c>
      <c r="K333">
        <v>0</v>
      </c>
      <c r="M333">
        <v>0.13</v>
      </c>
      <c r="N333" t="s">
        <v>1616</v>
      </c>
      <c r="P333">
        <v>42790</v>
      </c>
      <c r="Q333">
        <v>1.05</v>
      </c>
      <c r="R333">
        <v>0.72</v>
      </c>
      <c r="S333" t="b">
        <v>0</v>
      </c>
      <c r="T333">
        <v>2</v>
      </c>
      <c r="U333">
        <v>2</v>
      </c>
      <c r="V333" t="s">
        <v>1381</v>
      </c>
    </row>
    <row r="334" spans="1:22" x14ac:dyDescent="0.25">
      <c r="A334" t="s">
        <v>1615</v>
      </c>
      <c r="B334">
        <v>2015</v>
      </c>
      <c r="C334" t="s">
        <v>215</v>
      </c>
      <c r="D334" t="s">
        <v>91</v>
      </c>
      <c r="E334" t="s">
        <v>219</v>
      </c>
      <c r="F334" t="s">
        <v>80</v>
      </c>
      <c r="G334" t="s">
        <v>62</v>
      </c>
      <c r="H334" t="s">
        <v>61</v>
      </c>
      <c r="I334" t="s">
        <v>74</v>
      </c>
      <c r="J334" t="s">
        <v>23</v>
      </c>
      <c r="K334">
        <v>0</v>
      </c>
      <c r="M334">
        <v>0.01</v>
      </c>
      <c r="N334" t="s">
        <v>1614</v>
      </c>
      <c r="P334">
        <v>57792</v>
      </c>
      <c r="Q334">
        <v>-3.58</v>
      </c>
      <c r="R334">
        <v>0.85</v>
      </c>
      <c r="S334" t="b">
        <v>0</v>
      </c>
      <c r="T334">
        <v>1</v>
      </c>
      <c r="U334">
        <v>5</v>
      </c>
      <c r="V334" t="s">
        <v>1381</v>
      </c>
    </row>
    <row r="335" spans="1:22" x14ac:dyDescent="0.25">
      <c r="A335" t="s">
        <v>1613</v>
      </c>
      <c r="B335">
        <v>2015</v>
      </c>
      <c r="C335" t="s">
        <v>233</v>
      </c>
      <c r="D335" t="s">
        <v>125</v>
      </c>
      <c r="E335" t="s">
        <v>56</v>
      </c>
      <c r="F335" t="s">
        <v>75</v>
      </c>
      <c r="G335" t="s">
        <v>16</v>
      </c>
      <c r="H335" t="s">
        <v>4</v>
      </c>
      <c r="I335" t="s">
        <v>24</v>
      </c>
      <c r="J335" t="s">
        <v>13</v>
      </c>
      <c r="K335">
        <v>0</v>
      </c>
      <c r="M335">
        <v>0.01</v>
      </c>
      <c r="N335" t="s">
        <v>1612</v>
      </c>
      <c r="P335">
        <v>22897</v>
      </c>
      <c r="Q335">
        <v>1.67</v>
      </c>
      <c r="R335">
        <v>0.85</v>
      </c>
      <c r="S335" t="b">
        <v>0</v>
      </c>
      <c r="T335">
        <v>3</v>
      </c>
      <c r="U335">
        <v>17</v>
      </c>
      <c r="V335" t="s">
        <v>1381</v>
      </c>
    </row>
    <row r="336" spans="1:22" x14ac:dyDescent="0.25">
      <c r="A336" t="s">
        <v>1611</v>
      </c>
      <c r="B336">
        <v>2015</v>
      </c>
      <c r="C336" t="s">
        <v>407</v>
      </c>
      <c r="D336" t="s">
        <v>131</v>
      </c>
      <c r="E336" t="s">
        <v>121</v>
      </c>
      <c r="F336" t="s">
        <v>108</v>
      </c>
      <c r="G336" t="s">
        <v>62</v>
      </c>
      <c r="H336" t="s">
        <v>34</v>
      </c>
      <c r="I336" t="s">
        <v>97</v>
      </c>
      <c r="J336" t="s">
        <v>13</v>
      </c>
      <c r="K336">
        <v>0</v>
      </c>
      <c r="M336">
        <v>0</v>
      </c>
      <c r="N336" t="s">
        <v>1610</v>
      </c>
      <c r="P336">
        <v>29573</v>
      </c>
      <c r="Q336">
        <v>1.25</v>
      </c>
      <c r="R336">
        <v>0.64</v>
      </c>
      <c r="S336" t="b">
        <v>0</v>
      </c>
      <c r="T336">
        <v>1</v>
      </c>
      <c r="U336">
        <v>9</v>
      </c>
      <c r="V336" t="s">
        <v>1381</v>
      </c>
    </row>
    <row r="337" spans="1:22" x14ac:dyDescent="0.25">
      <c r="A337" s="1" t="s">
        <v>1609</v>
      </c>
      <c r="B337">
        <v>2015</v>
      </c>
      <c r="C337" t="s">
        <v>117</v>
      </c>
      <c r="D337" t="s">
        <v>91</v>
      </c>
      <c r="E337" t="s">
        <v>182</v>
      </c>
      <c r="F337" t="s">
        <v>41</v>
      </c>
      <c r="G337" t="s">
        <v>16</v>
      </c>
      <c r="H337" t="s">
        <v>141</v>
      </c>
      <c r="I337" t="s">
        <v>33</v>
      </c>
      <c r="J337" t="s">
        <v>96</v>
      </c>
      <c r="K337">
        <v>0</v>
      </c>
      <c r="M337">
        <v>0.13</v>
      </c>
      <c r="N337" t="s">
        <v>1608</v>
      </c>
      <c r="P337">
        <v>54030</v>
      </c>
      <c r="Q337">
        <v>-1.1000000000000001</v>
      </c>
      <c r="R337">
        <v>0.63</v>
      </c>
      <c r="S337" t="b">
        <v>0</v>
      </c>
      <c r="T337">
        <v>1</v>
      </c>
      <c r="U337">
        <v>15</v>
      </c>
      <c r="V337" t="s">
        <v>1381</v>
      </c>
    </row>
    <row r="338" spans="1:22" x14ac:dyDescent="0.25">
      <c r="A338" t="s">
        <v>1607</v>
      </c>
      <c r="B338">
        <v>2015</v>
      </c>
      <c r="C338" t="s">
        <v>358</v>
      </c>
      <c r="D338" t="s">
        <v>131</v>
      </c>
      <c r="E338" t="s">
        <v>42</v>
      </c>
      <c r="F338" t="s">
        <v>156</v>
      </c>
      <c r="G338" t="s">
        <v>16</v>
      </c>
      <c r="H338" t="s">
        <v>102</v>
      </c>
      <c r="I338" t="s">
        <v>33</v>
      </c>
      <c r="J338" t="s">
        <v>96</v>
      </c>
      <c r="K338">
        <v>0</v>
      </c>
      <c r="M338">
        <v>0.06</v>
      </c>
      <c r="N338" t="s">
        <v>1606</v>
      </c>
      <c r="P338">
        <v>33823</v>
      </c>
      <c r="Q338">
        <v>-1.66</v>
      </c>
      <c r="R338">
        <v>0.84</v>
      </c>
      <c r="S338" t="b">
        <v>0</v>
      </c>
      <c r="T338">
        <v>1</v>
      </c>
      <c r="U338">
        <v>15</v>
      </c>
      <c r="V338" t="s">
        <v>1381</v>
      </c>
    </row>
    <row r="339" spans="1:22" x14ac:dyDescent="0.25">
      <c r="A339" t="s">
        <v>1605</v>
      </c>
      <c r="B339">
        <v>2015</v>
      </c>
      <c r="C339" t="s">
        <v>407</v>
      </c>
      <c r="D339" t="s">
        <v>131</v>
      </c>
      <c r="E339" t="s">
        <v>50</v>
      </c>
      <c r="F339" t="s">
        <v>115</v>
      </c>
      <c r="G339" t="s">
        <v>135</v>
      </c>
      <c r="H339" t="s">
        <v>179</v>
      </c>
      <c r="I339" t="s">
        <v>97</v>
      </c>
      <c r="J339" t="s">
        <v>23</v>
      </c>
      <c r="K339">
        <v>0</v>
      </c>
      <c r="M339">
        <v>0.12</v>
      </c>
      <c r="N339" t="s">
        <v>1604</v>
      </c>
      <c r="P339">
        <v>37496</v>
      </c>
      <c r="Q339">
        <v>1.38</v>
      </c>
      <c r="R339">
        <v>0.78</v>
      </c>
      <c r="S339" t="b">
        <v>0</v>
      </c>
      <c r="T339">
        <v>3</v>
      </c>
      <c r="U339">
        <v>7</v>
      </c>
      <c r="V339" t="s">
        <v>1381</v>
      </c>
    </row>
    <row r="340" spans="1:22" x14ac:dyDescent="0.25">
      <c r="A340" t="s">
        <v>1603</v>
      </c>
      <c r="B340">
        <v>2015</v>
      </c>
      <c r="C340" t="s">
        <v>104</v>
      </c>
      <c r="D340" t="s">
        <v>8</v>
      </c>
      <c r="E340" t="s">
        <v>36</v>
      </c>
      <c r="F340" t="s">
        <v>103</v>
      </c>
      <c r="G340" t="s">
        <v>16</v>
      </c>
      <c r="H340" t="s">
        <v>141</v>
      </c>
      <c r="I340" t="s">
        <v>68</v>
      </c>
      <c r="J340" t="s">
        <v>73</v>
      </c>
      <c r="K340">
        <v>0</v>
      </c>
      <c r="M340">
        <v>0.15</v>
      </c>
      <c r="N340" t="s">
        <v>1602</v>
      </c>
      <c r="P340">
        <v>20505</v>
      </c>
      <c r="Q340">
        <v>-1.65</v>
      </c>
      <c r="R340">
        <v>0.76</v>
      </c>
      <c r="S340" t="b">
        <v>0</v>
      </c>
      <c r="T340">
        <v>1</v>
      </c>
      <c r="U340">
        <v>11</v>
      </c>
      <c r="V340" t="s">
        <v>1381</v>
      </c>
    </row>
    <row r="341" spans="1:22" x14ac:dyDescent="0.25">
      <c r="A341" t="s">
        <v>1601</v>
      </c>
      <c r="B341">
        <v>2015</v>
      </c>
      <c r="C341" t="s">
        <v>137</v>
      </c>
      <c r="D341" t="s">
        <v>43</v>
      </c>
      <c r="E341" t="s">
        <v>86</v>
      </c>
      <c r="F341" t="s">
        <v>63</v>
      </c>
      <c r="G341" t="s">
        <v>135</v>
      </c>
      <c r="H341" t="s">
        <v>4</v>
      </c>
      <c r="I341" t="s">
        <v>14</v>
      </c>
      <c r="J341" t="s">
        <v>96</v>
      </c>
      <c r="K341">
        <v>0</v>
      </c>
      <c r="M341">
        <v>0.02</v>
      </c>
      <c r="N341" t="s">
        <v>1253</v>
      </c>
      <c r="P341">
        <v>79221</v>
      </c>
      <c r="Q341">
        <v>0.75</v>
      </c>
      <c r="R341">
        <v>0.73</v>
      </c>
      <c r="S341" t="b">
        <v>0</v>
      </c>
      <c r="T341">
        <v>2</v>
      </c>
      <c r="U341">
        <v>14</v>
      </c>
      <c r="V341" t="s">
        <v>1381</v>
      </c>
    </row>
    <row r="342" spans="1:22" x14ac:dyDescent="0.25">
      <c r="A342" t="s">
        <v>1600</v>
      </c>
      <c r="B342">
        <v>2015</v>
      </c>
      <c r="C342" t="s">
        <v>183</v>
      </c>
      <c r="D342" t="s">
        <v>131</v>
      </c>
      <c r="E342" t="s">
        <v>219</v>
      </c>
      <c r="F342" t="s">
        <v>41</v>
      </c>
      <c r="G342" t="s">
        <v>25</v>
      </c>
      <c r="H342" t="s">
        <v>102</v>
      </c>
      <c r="I342" t="s">
        <v>90</v>
      </c>
      <c r="J342" t="s">
        <v>96</v>
      </c>
      <c r="K342">
        <v>0</v>
      </c>
      <c r="M342">
        <v>0.12</v>
      </c>
      <c r="N342" t="s">
        <v>1172</v>
      </c>
      <c r="P342">
        <v>31529</v>
      </c>
      <c r="Q342">
        <v>4.62</v>
      </c>
      <c r="R342">
        <v>0.82</v>
      </c>
      <c r="S342" t="b">
        <v>0</v>
      </c>
      <c r="T342">
        <v>2</v>
      </c>
      <c r="U342">
        <v>4</v>
      </c>
      <c r="V342" t="s">
        <v>1381</v>
      </c>
    </row>
    <row r="343" spans="1:22" x14ac:dyDescent="0.25">
      <c r="A343" t="s">
        <v>1599</v>
      </c>
      <c r="B343">
        <v>2015</v>
      </c>
      <c r="C343" t="s">
        <v>117</v>
      </c>
      <c r="D343" t="s">
        <v>91</v>
      </c>
      <c r="E343" t="s">
        <v>121</v>
      </c>
      <c r="F343" t="s">
        <v>112</v>
      </c>
      <c r="G343" t="s">
        <v>62</v>
      </c>
      <c r="H343" t="s">
        <v>15</v>
      </c>
      <c r="I343" t="s">
        <v>97</v>
      </c>
      <c r="J343" t="s">
        <v>73</v>
      </c>
      <c r="K343">
        <v>0</v>
      </c>
      <c r="M343">
        <v>0.15</v>
      </c>
      <c r="N343" t="s">
        <v>1598</v>
      </c>
      <c r="P343">
        <v>55883</v>
      </c>
      <c r="Q343">
        <v>-4.66</v>
      </c>
      <c r="R343">
        <v>0.86</v>
      </c>
      <c r="S343" t="b">
        <v>0</v>
      </c>
      <c r="T343">
        <v>2</v>
      </c>
      <c r="U343">
        <v>19</v>
      </c>
      <c r="V343" t="s">
        <v>1381</v>
      </c>
    </row>
    <row r="344" spans="1:22" x14ac:dyDescent="0.25">
      <c r="A344" t="s">
        <v>1597</v>
      </c>
      <c r="B344">
        <v>2015</v>
      </c>
      <c r="C344" t="s">
        <v>358</v>
      </c>
      <c r="D344" t="s">
        <v>131</v>
      </c>
      <c r="E344" t="s">
        <v>36</v>
      </c>
      <c r="F344" t="s">
        <v>136</v>
      </c>
      <c r="G344" t="s">
        <v>16</v>
      </c>
      <c r="H344" t="s">
        <v>61</v>
      </c>
      <c r="I344" t="s">
        <v>107</v>
      </c>
      <c r="J344" t="s">
        <v>2</v>
      </c>
      <c r="K344">
        <v>0</v>
      </c>
      <c r="M344">
        <v>0.18</v>
      </c>
      <c r="N344" t="s">
        <v>1596</v>
      </c>
      <c r="P344">
        <v>32405</v>
      </c>
      <c r="Q344">
        <v>0.87</v>
      </c>
      <c r="R344">
        <v>0.74</v>
      </c>
      <c r="S344" t="b">
        <v>0</v>
      </c>
      <c r="T344">
        <v>3</v>
      </c>
      <c r="U344">
        <v>3</v>
      </c>
      <c r="V344" t="s">
        <v>1381</v>
      </c>
    </row>
    <row r="345" spans="1:22" x14ac:dyDescent="0.25">
      <c r="A345" t="s">
        <v>1595</v>
      </c>
      <c r="B345">
        <v>2015</v>
      </c>
      <c r="C345" t="s">
        <v>176</v>
      </c>
      <c r="D345" t="s">
        <v>64</v>
      </c>
      <c r="E345" t="s">
        <v>42</v>
      </c>
      <c r="F345" t="s">
        <v>41</v>
      </c>
      <c r="G345" t="s">
        <v>62</v>
      </c>
      <c r="H345" t="s">
        <v>102</v>
      </c>
      <c r="I345" t="s">
        <v>90</v>
      </c>
      <c r="J345" t="s">
        <v>13</v>
      </c>
      <c r="K345">
        <v>0</v>
      </c>
      <c r="M345">
        <v>0.05</v>
      </c>
      <c r="N345" t="s">
        <v>1594</v>
      </c>
      <c r="P345">
        <v>85465</v>
      </c>
      <c r="Q345">
        <v>3.88</v>
      </c>
      <c r="R345">
        <v>0.73</v>
      </c>
      <c r="S345" t="b">
        <v>0</v>
      </c>
      <c r="T345">
        <v>3</v>
      </c>
      <c r="U345">
        <v>10</v>
      </c>
      <c r="V345" t="s">
        <v>1381</v>
      </c>
    </row>
    <row r="346" spans="1:22" x14ac:dyDescent="0.25">
      <c r="A346" t="s">
        <v>1593</v>
      </c>
      <c r="B346">
        <v>2015</v>
      </c>
      <c r="C346" t="s">
        <v>70</v>
      </c>
      <c r="D346" t="s">
        <v>18</v>
      </c>
      <c r="E346" t="s">
        <v>27</v>
      </c>
      <c r="F346" t="s">
        <v>41</v>
      </c>
      <c r="G346" t="s">
        <v>135</v>
      </c>
      <c r="H346" t="s">
        <v>85</v>
      </c>
      <c r="I346" t="s">
        <v>68</v>
      </c>
      <c r="J346" t="s">
        <v>79</v>
      </c>
      <c r="K346">
        <v>0</v>
      </c>
      <c r="M346">
        <v>0.09</v>
      </c>
      <c r="N346" t="s">
        <v>1592</v>
      </c>
      <c r="P346">
        <v>55151</v>
      </c>
      <c r="Q346">
        <v>1.94</v>
      </c>
      <c r="R346">
        <v>0.82</v>
      </c>
      <c r="S346" t="b">
        <v>0</v>
      </c>
      <c r="T346">
        <v>3</v>
      </c>
      <c r="U346">
        <v>4</v>
      </c>
      <c r="V346" t="s">
        <v>1381</v>
      </c>
    </row>
    <row r="347" spans="1:22" x14ac:dyDescent="0.25">
      <c r="A347" t="s">
        <v>1591</v>
      </c>
      <c r="B347">
        <v>2015</v>
      </c>
      <c r="C347" t="s">
        <v>58</v>
      </c>
      <c r="D347" t="s">
        <v>57</v>
      </c>
      <c r="E347" t="s">
        <v>50</v>
      </c>
      <c r="F347" t="s">
        <v>115</v>
      </c>
      <c r="G347" t="s">
        <v>25</v>
      </c>
      <c r="H347" t="s">
        <v>15</v>
      </c>
      <c r="I347" t="s">
        <v>14</v>
      </c>
      <c r="J347" t="s">
        <v>79</v>
      </c>
      <c r="K347">
        <v>0</v>
      </c>
      <c r="M347">
        <v>0.16</v>
      </c>
      <c r="N347" t="s">
        <v>1590</v>
      </c>
      <c r="P347">
        <v>72526</v>
      </c>
      <c r="Q347">
        <v>-2.29</v>
      </c>
      <c r="R347">
        <v>0.66</v>
      </c>
      <c r="S347" t="b">
        <v>0</v>
      </c>
      <c r="T347">
        <v>3</v>
      </c>
      <c r="U347">
        <v>3</v>
      </c>
      <c r="V347" t="s">
        <v>1381</v>
      </c>
    </row>
    <row r="348" spans="1:22" x14ac:dyDescent="0.25">
      <c r="A348" t="s">
        <v>1589</v>
      </c>
      <c r="B348">
        <v>2015</v>
      </c>
      <c r="C348" t="s">
        <v>117</v>
      </c>
      <c r="D348" t="s">
        <v>91</v>
      </c>
      <c r="E348" t="s">
        <v>27</v>
      </c>
      <c r="F348" t="s">
        <v>55</v>
      </c>
      <c r="G348" t="s">
        <v>25</v>
      </c>
      <c r="H348" t="s">
        <v>61</v>
      </c>
      <c r="I348" t="s">
        <v>24</v>
      </c>
      <c r="J348" t="s">
        <v>23</v>
      </c>
      <c r="K348">
        <v>0</v>
      </c>
      <c r="M348">
        <v>0.03</v>
      </c>
      <c r="N348" t="s">
        <v>1588</v>
      </c>
      <c r="P348">
        <v>56230</v>
      </c>
      <c r="Q348">
        <v>-0.45</v>
      </c>
      <c r="R348">
        <v>0.79</v>
      </c>
      <c r="S348" t="b">
        <v>0</v>
      </c>
      <c r="T348">
        <v>1</v>
      </c>
      <c r="U348">
        <v>0</v>
      </c>
      <c r="V348" t="s">
        <v>1381</v>
      </c>
    </row>
    <row r="349" spans="1:22" x14ac:dyDescent="0.25">
      <c r="A349" t="s">
        <v>1587</v>
      </c>
      <c r="B349">
        <v>2015</v>
      </c>
      <c r="C349" t="s">
        <v>19</v>
      </c>
      <c r="D349" t="s">
        <v>18</v>
      </c>
      <c r="E349" t="s">
        <v>27</v>
      </c>
      <c r="F349" t="s">
        <v>156</v>
      </c>
      <c r="G349" t="s">
        <v>25</v>
      </c>
      <c r="H349" t="s">
        <v>4</v>
      </c>
      <c r="I349" t="s">
        <v>14</v>
      </c>
      <c r="J349" t="s">
        <v>23</v>
      </c>
      <c r="K349">
        <v>0</v>
      </c>
      <c r="M349">
        <v>0.03</v>
      </c>
      <c r="N349" t="s">
        <v>1586</v>
      </c>
      <c r="P349">
        <v>70116</v>
      </c>
      <c r="Q349">
        <v>2.5299999999999998</v>
      </c>
      <c r="R349">
        <v>0.87</v>
      </c>
      <c r="S349" t="b">
        <v>0</v>
      </c>
      <c r="T349">
        <v>2</v>
      </c>
      <c r="U349">
        <v>15</v>
      </c>
      <c r="V349" t="s">
        <v>1381</v>
      </c>
    </row>
    <row r="350" spans="1:22" x14ac:dyDescent="0.25">
      <c r="A350" t="s">
        <v>1585</v>
      </c>
      <c r="B350">
        <v>2015</v>
      </c>
      <c r="C350" t="s">
        <v>215</v>
      </c>
      <c r="D350" t="s">
        <v>91</v>
      </c>
      <c r="E350" t="s">
        <v>219</v>
      </c>
      <c r="F350" t="s">
        <v>6</v>
      </c>
      <c r="G350" t="s">
        <v>25</v>
      </c>
      <c r="H350" t="s">
        <v>85</v>
      </c>
      <c r="I350" t="s">
        <v>24</v>
      </c>
      <c r="J350" t="s">
        <v>79</v>
      </c>
      <c r="K350">
        <v>0</v>
      </c>
      <c r="M350">
        <v>0.03</v>
      </c>
      <c r="N350" t="s">
        <v>1584</v>
      </c>
      <c r="P350">
        <v>63989</v>
      </c>
      <c r="Q350">
        <v>2.4500000000000002</v>
      </c>
      <c r="R350">
        <v>0.67</v>
      </c>
      <c r="S350" t="b">
        <v>0</v>
      </c>
      <c r="T350">
        <v>2</v>
      </c>
      <c r="U350">
        <v>6</v>
      </c>
      <c r="V350" t="s">
        <v>1381</v>
      </c>
    </row>
    <row r="351" spans="1:22" x14ac:dyDescent="0.25">
      <c r="A351" t="s">
        <v>1583</v>
      </c>
      <c r="B351">
        <v>2015</v>
      </c>
      <c r="C351" t="s">
        <v>171</v>
      </c>
      <c r="D351" t="s">
        <v>57</v>
      </c>
      <c r="E351" t="s">
        <v>7</v>
      </c>
      <c r="F351" t="s">
        <v>80</v>
      </c>
      <c r="G351" t="s">
        <v>5</v>
      </c>
      <c r="H351" t="s">
        <v>85</v>
      </c>
      <c r="I351" t="s">
        <v>40</v>
      </c>
      <c r="J351" t="s">
        <v>73</v>
      </c>
      <c r="K351">
        <v>0</v>
      </c>
      <c r="M351">
        <v>0.16</v>
      </c>
      <c r="N351" t="s">
        <v>1582</v>
      </c>
      <c r="P351">
        <v>63887</v>
      </c>
      <c r="Q351">
        <v>-4.59</v>
      </c>
      <c r="R351">
        <v>0.68</v>
      </c>
      <c r="S351" t="b">
        <v>0</v>
      </c>
      <c r="T351">
        <v>1</v>
      </c>
      <c r="U351">
        <v>8</v>
      </c>
      <c r="V351" t="s">
        <v>1381</v>
      </c>
    </row>
    <row r="352" spans="1:22" x14ac:dyDescent="0.25">
      <c r="A352" t="s">
        <v>1581</v>
      </c>
      <c r="B352">
        <v>2015</v>
      </c>
      <c r="C352" t="s">
        <v>19</v>
      </c>
      <c r="D352" t="s">
        <v>18</v>
      </c>
      <c r="E352" t="s">
        <v>56</v>
      </c>
      <c r="F352" t="s">
        <v>55</v>
      </c>
      <c r="G352" t="s">
        <v>5</v>
      </c>
      <c r="H352" t="s">
        <v>61</v>
      </c>
      <c r="I352" t="s">
        <v>14</v>
      </c>
      <c r="J352" t="s">
        <v>73</v>
      </c>
      <c r="K352">
        <v>0</v>
      </c>
      <c r="M352">
        <v>0.18</v>
      </c>
      <c r="N352" t="s">
        <v>1580</v>
      </c>
      <c r="P352">
        <v>56264</v>
      </c>
      <c r="Q352">
        <v>-4.8499999999999996</v>
      </c>
      <c r="R352">
        <v>0.84</v>
      </c>
      <c r="S352" t="b">
        <v>0</v>
      </c>
      <c r="T352">
        <v>2</v>
      </c>
      <c r="U352">
        <v>8</v>
      </c>
      <c r="V352" t="s">
        <v>1381</v>
      </c>
    </row>
    <row r="353" spans="1:22" x14ac:dyDescent="0.25">
      <c r="A353" t="s">
        <v>1579</v>
      </c>
      <c r="B353">
        <v>2015</v>
      </c>
      <c r="C353" t="s">
        <v>304</v>
      </c>
      <c r="D353" t="s">
        <v>131</v>
      </c>
      <c r="E353" t="s">
        <v>56</v>
      </c>
      <c r="F353" t="s">
        <v>136</v>
      </c>
      <c r="G353" t="s">
        <v>62</v>
      </c>
      <c r="H353" t="s">
        <v>49</v>
      </c>
      <c r="I353" t="s">
        <v>107</v>
      </c>
      <c r="J353" t="s">
        <v>23</v>
      </c>
      <c r="K353">
        <v>0</v>
      </c>
      <c r="M353">
        <v>0.18</v>
      </c>
      <c r="N353" t="s">
        <v>1578</v>
      </c>
      <c r="P353">
        <v>32895</v>
      </c>
      <c r="Q353">
        <v>-4.8600000000000003</v>
      </c>
      <c r="R353">
        <v>0.66</v>
      </c>
      <c r="S353" t="b">
        <v>0</v>
      </c>
      <c r="T353">
        <v>1</v>
      </c>
      <c r="U353">
        <v>6</v>
      </c>
      <c r="V353" t="s">
        <v>1381</v>
      </c>
    </row>
    <row r="354" spans="1:22" x14ac:dyDescent="0.25">
      <c r="A354" t="s">
        <v>1577</v>
      </c>
      <c r="B354">
        <v>2015</v>
      </c>
      <c r="C354" t="s">
        <v>92</v>
      </c>
      <c r="D354" t="s">
        <v>91</v>
      </c>
      <c r="E354" t="s">
        <v>17</v>
      </c>
      <c r="F354" t="s">
        <v>103</v>
      </c>
      <c r="G354" t="s">
        <v>135</v>
      </c>
      <c r="H354" t="s">
        <v>34</v>
      </c>
      <c r="I354" t="s">
        <v>107</v>
      </c>
      <c r="J354" t="s">
        <v>13</v>
      </c>
      <c r="K354">
        <v>0</v>
      </c>
      <c r="M354">
        <v>0.14000000000000001</v>
      </c>
      <c r="N354" t="s">
        <v>1576</v>
      </c>
      <c r="P354">
        <v>51533</v>
      </c>
      <c r="Q354">
        <v>0.55000000000000004</v>
      </c>
      <c r="R354">
        <v>0.83</v>
      </c>
      <c r="S354" t="b">
        <v>0</v>
      </c>
      <c r="T354">
        <v>2</v>
      </c>
      <c r="U354">
        <v>7</v>
      </c>
      <c r="V354" t="s">
        <v>1381</v>
      </c>
    </row>
    <row r="355" spans="1:22" x14ac:dyDescent="0.25">
      <c r="A355" t="s">
        <v>1575</v>
      </c>
      <c r="B355">
        <v>2015</v>
      </c>
      <c r="C355" t="s">
        <v>161</v>
      </c>
      <c r="D355" t="s">
        <v>8</v>
      </c>
      <c r="E355" t="s">
        <v>7</v>
      </c>
      <c r="F355" t="s">
        <v>75</v>
      </c>
      <c r="G355" t="s">
        <v>5</v>
      </c>
      <c r="H355" t="s">
        <v>179</v>
      </c>
      <c r="I355" t="s">
        <v>90</v>
      </c>
      <c r="J355" t="s">
        <v>79</v>
      </c>
      <c r="K355">
        <v>0</v>
      </c>
      <c r="M355">
        <v>0.14000000000000001</v>
      </c>
      <c r="N355" t="s">
        <v>1574</v>
      </c>
      <c r="P355">
        <v>25209</v>
      </c>
      <c r="Q355">
        <v>-0.68</v>
      </c>
      <c r="R355">
        <v>0.61</v>
      </c>
      <c r="S355" t="b">
        <v>0</v>
      </c>
      <c r="T355">
        <v>2</v>
      </c>
      <c r="U355">
        <v>4</v>
      </c>
      <c r="V355" t="s">
        <v>1381</v>
      </c>
    </row>
    <row r="356" spans="1:22" x14ac:dyDescent="0.25">
      <c r="A356" t="s">
        <v>1573</v>
      </c>
      <c r="B356">
        <v>2015</v>
      </c>
      <c r="C356" t="s">
        <v>161</v>
      </c>
      <c r="D356" t="s">
        <v>8</v>
      </c>
      <c r="E356" t="s">
        <v>17</v>
      </c>
      <c r="F356" t="s">
        <v>108</v>
      </c>
      <c r="G356" t="s">
        <v>5</v>
      </c>
      <c r="H356" t="s">
        <v>102</v>
      </c>
      <c r="I356" t="s">
        <v>24</v>
      </c>
      <c r="J356" t="s">
        <v>23</v>
      </c>
      <c r="K356">
        <v>1</v>
      </c>
      <c r="L356" t="s">
        <v>1571</v>
      </c>
      <c r="M356">
        <v>0.57999999999999996</v>
      </c>
      <c r="N356" t="s">
        <v>1572</v>
      </c>
      <c r="O356" t="s">
        <v>1571</v>
      </c>
      <c r="P356">
        <v>34936</v>
      </c>
      <c r="Q356">
        <v>-1.68</v>
      </c>
      <c r="R356">
        <v>0.37</v>
      </c>
      <c r="S356" t="b">
        <v>1</v>
      </c>
      <c r="T356">
        <v>2</v>
      </c>
      <c r="U356">
        <v>7</v>
      </c>
      <c r="V356" t="s">
        <v>1381</v>
      </c>
    </row>
    <row r="357" spans="1:22" x14ac:dyDescent="0.25">
      <c r="A357" t="s">
        <v>1570</v>
      </c>
      <c r="B357">
        <v>2015</v>
      </c>
      <c r="C357" t="s">
        <v>378</v>
      </c>
      <c r="D357" t="s">
        <v>43</v>
      </c>
      <c r="E357" t="s">
        <v>42</v>
      </c>
      <c r="F357" t="s">
        <v>69</v>
      </c>
      <c r="G357" t="s">
        <v>135</v>
      </c>
      <c r="H357" t="s">
        <v>141</v>
      </c>
      <c r="I357" t="s">
        <v>3</v>
      </c>
      <c r="J357" t="s">
        <v>13</v>
      </c>
      <c r="K357">
        <v>0</v>
      </c>
      <c r="M357">
        <v>0.09</v>
      </c>
      <c r="N357" t="s">
        <v>1569</v>
      </c>
      <c r="P357">
        <v>71527</v>
      </c>
      <c r="Q357">
        <v>4.3499999999999996</v>
      </c>
      <c r="R357">
        <v>0.87</v>
      </c>
      <c r="S357" t="b">
        <v>0</v>
      </c>
      <c r="T357">
        <v>1</v>
      </c>
      <c r="U357">
        <v>19</v>
      </c>
      <c r="V357" t="s">
        <v>1381</v>
      </c>
    </row>
    <row r="358" spans="1:22" x14ac:dyDescent="0.25">
      <c r="A358" t="s">
        <v>1568</v>
      </c>
      <c r="B358">
        <v>2015</v>
      </c>
      <c r="C358" t="s">
        <v>70</v>
      </c>
      <c r="D358" t="s">
        <v>18</v>
      </c>
      <c r="E358" t="s">
        <v>17</v>
      </c>
      <c r="F358" t="s">
        <v>136</v>
      </c>
      <c r="G358" t="s">
        <v>25</v>
      </c>
      <c r="H358" t="s">
        <v>102</v>
      </c>
      <c r="I358" t="s">
        <v>107</v>
      </c>
      <c r="J358" t="s">
        <v>13</v>
      </c>
      <c r="K358">
        <v>0</v>
      </c>
      <c r="M358">
        <v>0.16</v>
      </c>
      <c r="N358" t="s">
        <v>1567</v>
      </c>
      <c r="P358">
        <v>71427</v>
      </c>
      <c r="Q358">
        <v>0.85</v>
      </c>
      <c r="R358">
        <v>0.65</v>
      </c>
      <c r="S358" t="b">
        <v>0</v>
      </c>
      <c r="T358">
        <v>3</v>
      </c>
      <c r="U358">
        <v>12</v>
      </c>
      <c r="V358" t="s">
        <v>1381</v>
      </c>
    </row>
    <row r="359" spans="1:22" x14ac:dyDescent="0.25">
      <c r="A359" t="s">
        <v>1566</v>
      </c>
      <c r="B359">
        <v>2015</v>
      </c>
      <c r="C359" t="s">
        <v>58</v>
      </c>
      <c r="D359" t="s">
        <v>57</v>
      </c>
      <c r="E359" t="s">
        <v>27</v>
      </c>
      <c r="F359" t="s">
        <v>69</v>
      </c>
      <c r="G359" t="s">
        <v>5</v>
      </c>
      <c r="H359" t="s">
        <v>34</v>
      </c>
      <c r="I359" t="s">
        <v>97</v>
      </c>
      <c r="J359" t="s">
        <v>13</v>
      </c>
      <c r="K359">
        <v>0</v>
      </c>
      <c r="M359">
        <v>7.0000000000000007E-2</v>
      </c>
      <c r="N359" t="s">
        <v>1565</v>
      </c>
      <c r="P359">
        <v>68590</v>
      </c>
      <c r="Q359">
        <v>-2.38</v>
      </c>
      <c r="R359">
        <v>0.62</v>
      </c>
      <c r="S359" t="b">
        <v>0</v>
      </c>
      <c r="T359">
        <v>1</v>
      </c>
      <c r="U359">
        <v>4</v>
      </c>
      <c r="V359" t="s">
        <v>1381</v>
      </c>
    </row>
    <row r="360" spans="1:22" x14ac:dyDescent="0.25">
      <c r="A360" t="s">
        <v>1564</v>
      </c>
      <c r="B360">
        <v>2015</v>
      </c>
      <c r="C360" t="s">
        <v>287</v>
      </c>
      <c r="D360" t="s">
        <v>43</v>
      </c>
      <c r="E360" t="s">
        <v>182</v>
      </c>
      <c r="F360" t="s">
        <v>108</v>
      </c>
      <c r="G360" t="s">
        <v>5</v>
      </c>
      <c r="H360" t="s">
        <v>85</v>
      </c>
      <c r="I360" t="s">
        <v>24</v>
      </c>
      <c r="J360" t="s">
        <v>13</v>
      </c>
      <c r="K360">
        <v>1</v>
      </c>
      <c r="L360" t="s">
        <v>1562</v>
      </c>
      <c r="M360">
        <v>0.53</v>
      </c>
      <c r="N360" t="s">
        <v>1563</v>
      </c>
      <c r="O360" t="s">
        <v>1562</v>
      </c>
      <c r="P360">
        <v>99611</v>
      </c>
      <c r="Q360">
        <v>4.57</v>
      </c>
      <c r="R360">
        <v>0.37</v>
      </c>
      <c r="S360" t="b">
        <v>1</v>
      </c>
      <c r="T360">
        <v>2</v>
      </c>
      <c r="U360">
        <v>16</v>
      </c>
      <c r="V360" t="s">
        <v>1381</v>
      </c>
    </row>
    <row r="361" spans="1:22" x14ac:dyDescent="0.25">
      <c r="A361" t="s">
        <v>1561</v>
      </c>
      <c r="B361">
        <v>2015</v>
      </c>
      <c r="C361" t="s">
        <v>19</v>
      </c>
      <c r="D361" t="s">
        <v>18</v>
      </c>
      <c r="E361" t="s">
        <v>36</v>
      </c>
      <c r="F361" t="s">
        <v>124</v>
      </c>
      <c r="G361" t="s">
        <v>135</v>
      </c>
      <c r="H361" t="s">
        <v>141</v>
      </c>
      <c r="I361" t="s">
        <v>97</v>
      </c>
      <c r="J361" t="s">
        <v>2</v>
      </c>
      <c r="K361">
        <v>1</v>
      </c>
      <c r="L361" t="s">
        <v>1559</v>
      </c>
      <c r="M361">
        <v>0.41</v>
      </c>
      <c r="N361" t="s">
        <v>1560</v>
      </c>
      <c r="O361" t="s">
        <v>1559</v>
      </c>
      <c r="P361">
        <v>78717</v>
      </c>
      <c r="Q361">
        <v>2.4900000000000002</v>
      </c>
      <c r="R361">
        <v>0.18</v>
      </c>
      <c r="S361" t="b">
        <v>1</v>
      </c>
      <c r="T361">
        <v>3</v>
      </c>
      <c r="U361">
        <v>17</v>
      </c>
      <c r="V361" t="s">
        <v>1381</v>
      </c>
    </row>
    <row r="362" spans="1:22" x14ac:dyDescent="0.25">
      <c r="A362" t="s">
        <v>1558</v>
      </c>
      <c r="B362">
        <v>2015</v>
      </c>
      <c r="C362" t="s">
        <v>333</v>
      </c>
      <c r="D362" t="s">
        <v>28</v>
      </c>
      <c r="E362" t="s">
        <v>42</v>
      </c>
      <c r="F362" t="s">
        <v>80</v>
      </c>
      <c r="G362" t="s">
        <v>135</v>
      </c>
      <c r="H362" t="s">
        <v>61</v>
      </c>
      <c r="I362" t="s">
        <v>74</v>
      </c>
      <c r="J362" t="s">
        <v>2</v>
      </c>
      <c r="K362">
        <v>0</v>
      </c>
      <c r="M362">
        <v>0.05</v>
      </c>
      <c r="N362" t="s">
        <v>1557</v>
      </c>
      <c r="P362">
        <v>34432</v>
      </c>
      <c r="Q362">
        <v>4.1399999999999997</v>
      </c>
      <c r="R362">
        <v>0.84</v>
      </c>
      <c r="S362" t="b">
        <v>0</v>
      </c>
      <c r="T362">
        <v>2</v>
      </c>
      <c r="U362">
        <v>0</v>
      </c>
      <c r="V362" t="s">
        <v>1381</v>
      </c>
    </row>
    <row r="363" spans="1:22" x14ac:dyDescent="0.25">
      <c r="A363" t="s">
        <v>1556</v>
      </c>
      <c r="B363">
        <v>2015</v>
      </c>
      <c r="C363" t="s">
        <v>358</v>
      </c>
      <c r="D363" t="s">
        <v>131</v>
      </c>
      <c r="E363" t="s">
        <v>27</v>
      </c>
      <c r="F363" t="s">
        <v>75</v>
      </c>
      <c r="G363" t="s">
        <v>62</v>
      </c>
      <c r="H363" t="s">
        <v>49</v>
      </c>
      <c r="I363" t="s">
        <v>97</v>
      </c>
      <c r="J363" t="s">
        <v>79</v>
      </c>
      <c r="K363">
        <v>0</v>
      </c>
      <c r="M363">
        <v>0.08</v>
      </c>
      <c r="N363" t="s">
        <v>1555</v>
      </c>
      <c r="P363">
        <v>36528</v>
      </c>
      <c r="Q363">
        <v>-2.2799999999999998</v>
      </c>
      <c r="R363">
        <v>0.66</v>
      </c>
      <c r="S363" t="b">
        <v>0</v>
      </c>
      <c r="T363">
        <v>2</v>
      </c>
      <c r="U363">
        <v>11</v>
      </c>
      <c r="V363" t="s">
        <v>1381</v>
      </c>
    </row>
    <row r="364" spans="1:22" x14ac:dyDescent="0.25">
      <c r="A364" t="s">
        <v>1554</v>
      </c>
      <c r="B364">
        <v>2015</v>
      </c>
      <c r="C364" t="s">
        <v>287</v>
      </c>
      <c r="D364" t="s">
        <v>43</v>
      </c>
      <c r="E364" t="s">
        <v>147</v>
      </c>
      <c r="F364" t="s">
        <v>115</v>
      </c>
      <c r="G364" t="s">
        <v>135</v>
      </c>
      <c r="H364" t="s">
        <v>141</v>
      </c>
      <c r="I364" t="s">
        <v>107</v>
      </c>
      <c r="J364" t="s">
        <v>23</v>
      </c>
      <c r="K364">
        <v>0</v>
      </c>
      <c r="M364">
        <v>0.05</v>
      </c>
      <c r="N364" t="s">
        <v>1027</v>
      </c>
      <c r="P364">
        <v>59700</v>
      </c>
      <c r="Q364">
        <v>3.58</v>
      </c>
      <c r="R364">
        <v>0.76</v>
      </c>
      <c r="S364" t="b">
        <v>0</v>
      </c>
      <c r="T364">
        <v>3</v>
      </c>
      <c r="U364">
        <v>4</v>
      </c>
      <c r="V364" t="s">
        <v>1381</v>
      </c>
    </row>
    <row r="365" spans="1:22" x14ac:dyDescent="0.25">
      <c r="A365" t="s">
        <v>1553</v>
      </c>
      <c r="B365">
        <v>2015</v>
      </c>
      <c r="C365" t="s">
        <v>51</v>
      </c>
      <c r="D365" t="s">
        <v>18</v>
      </c>
      <c r="E365" t="s">
        <v>86</v>
      </c>
      <c r="F365" t="s">
        <v>35</v>
      </c>
      <c r="G365" t="s">
        <v>62</v>
      </c>
      <c r="H365" t="s">
        <v>49</v>
      </c>
      <c r="I365" t="s">
        <v>68</v>
      </c>
      <c r="J365" t="s">
        <v>73</v>
      </c>
      <c r="K365">
        <v>1</v>
      </c>
      <c r="L365" t="s">
        <v>38</v>
      </c>
      <c r="M365">
        <v>0.51</v>
      </c>
      <c r="N365" t="s">
        <v>1552</v>
      </c>
      <c r="O365" t="s">
        <v>38</v>
      </c>
      <c r="P365">
        <v>81433</v>
      </c>
      <c r="Q365">
        <v>4.37</v>
      </c>
      <c r="R365">
        <v>0.39</v>
      </c>
      <c r="S365" t="b">
        <v>1</v>
      </c>
      <c r="T365">
        <v>1</v>
      </c>
      <c r="U365">
        <v>3</v>
      </c>
      <c r="V365" t="s">
        <v>1381</v>
      </c>
    </row>
    <row r="366" spans="1:22" x14ac:dyDescent="0.25">
      <c r="A366" t="s">
        <v>1551</v>
      </c>
      <c r="B366">
        <v>2015</v>
      </c>
      <c r="C366" t="s">
        <v>148</v>
      </c>
      <c r="D366" t="s">
        <v>28</v>
      </c>
      <c r="E366" t="s">
        <v>130</v>
      </c>
      <c r="F366" t="s">
        <v>108</v>
      </c>
      <c r="G366" t="s">
        <v>5</v>
      </c>
      <c r="H366" t="s">
        <v>102</v>
      </c>
      <c r="I366" t="s">
        <v>33</v>
      </c>
      <c r="J366" t="s">
        <v>96</v>
      </c>
      <c r="K366">
        <v>1</v>
      </c>
      <c r="L366" t="s">
        <v>1549</v>
      </c>
      <c r="M366">
        <v>0.66</v>
      </c>
      <c r="N366" t="s">
        <v>1550</v>
      </c>
      <c r="O366" t="s">
        <v>1549</v>
      </c>
      <c r="P366">
        <v>57129</v>
      </c>
      <c r="Q366">
        <v>4.76</v>
      </c>
      <c r="R366">
        <v>0.21</v>
      </c>
      <c r="S366" t="b">
        <v>1</v>
      </c>
      <c r="T366">
        <v>3</v>
      </c>
      <c r="U366">
        <v>10</v>
      </c>
      <c r="V366" t="s">
        <v>1381</v>
      </c>
    </row>
    <row r="367" spans="1:22" x14ac:dyDescent="0.25">
      <c r="A367" t="s">
        <v>1548</v>
      </c>
      <c r="B367">
        <v>2015</v>
      </c>
      <c r="C367" t="s">
        <v>81</v>
      </c>
      <c r="D367" t="s">
        <v>28</v>
      </c>
      <c r="E367" t="s">
        <v>36</v>
      </c>
      <c r="F367" t="s">
        <v>115</v>
      </c>
      <c r="G367" t="s">
        <v>5</v>
      </c>
      <c r="H367" t="s">
        <v>49</v>
      </c>
      <c r="I367" t="s">
        <v>107</v>
      </c>
      <c r="J367" t="s">
        <v>2</v>
      </c>
      <c r="K367">
        <v>0</v>
      </c>
      <c r="M367">
        <v>0.04</v>
      </c>
      <c r="N367" t="s">
        <v>1547</v>
      </c>
      <c r="P367">
        <v>43718</v>
      </c>
      <c r="Q367">
        <v>2.2799999999999998</v>
      </c>
      <c r="R367">
        <v>0.88</v>
      </c>
      <c r="S367" t="b">
        <v>0</v>
      </c>
      <c r="T367">
        <v>1</v>
      </c>
      <c r="U367">
        <v>13</v>
      </c>
      <c r="V367" t="s">
        <v>1381</v>
      </c>
    </row>
    <row r="368" spans="1:22" x14ac:dyDescent="0.25">
      <c r="A368" t="s">
        <v>1546</v>
      </c>
      <c r="B368">
        <v>2015</v>
      </c>
      <c r="C368" t="s">
        <v>58</v>
      </c>
      <c r="D368" t="s">
        <v>57</v>
      </c>
      <c r="E368" t="s">
        <v>116</v>
      </c>
      <c r="F368" t="s">
        <v>136</v>
      </c>
      <c r="G368" t="s">
        <v>16</v>
      </c>
      <c r="H368" t="s">
        <v>102</v>
      </c>
      <c r="I368" t="s">
        <v>68</v>
      </c>
      <c r="J368" t="s">
        <v>96</v>
      </c>
      <c r="K368">
        <v>0</v>
      </c>
      <c r="M368">
        <v>0.11</v>
      </c>
      <c r="N368" t="s">
        <v>1545</v>
      </c>
      <c r="P368">
        <v>77140</v>
      </c>
      <c r="Q368">
        <v>4.4000000000000004</v>
      </c>
      <c r="R368">
        <v>0.87</v>
      </c>
      <c r="S368" t="b">
        <v>0</v>
      </c>
      <c r="T368">
        <v>3</v>
      </c>
      <c r="U368">
        <v>12</v>
      </c>
      <c r="V368" t="s">
        <v>1381</v>
      </c>
    </row>
    <row r="369" spans="1:22" x14ac:dyDescent="0.25">
      <c r="A369" t="s">
        <v>1544</v>
      </c>
      <c r="B369">
        <v>2015</v>
      </c>
      <c r="C369" t="s">
        <v>164</v>
      </c>
      <c r="D369" t="s">
        <v>8</v>
      </c>
      <c r="E369" t="s">
        <v>182</v>
      </c>
      <c r="F369" t="s">
        <v>26</v>
      </c>
      <c r="G369" t="s">
        <v>135</v>
      </c>
      <c r="H369" t="s">
        <v>15</v>
      </c>
      <c r="I369" t="s">
        <v>97</v>
      </c>
      <c r="J369" t="s">
        <v>23</v>
      </c>
      <c r="K369">
        <v>0</v>
      </c>
      <c r="M369">
        <v>0.06</v>
      </c>
      <c r="N369" t="s">
        <v>1543</v>
      </c>
      <c r="P369">
        <v>20697</v>
      </c>
      <c r="Q369">
        <v>1.19</v>
      </c>
      <c r="R369">
        <v>0.73</v>
      </c>
      <c r="S369" t="b">
        <v>0</v>
      </c>
      <c r="T369">
        <v>1</v>
      </c>
      <c r="U369">
        <v>9</v>
      </c>
      <c r="V369" t="s">
        <v>1381</v>
      </c>
    </row>
    <row r="370" spans="1:22" x14ac:dyDescent="0.25">
      <c r="A370" s="1" t="s">
        <v>1542</v>
      </c>
      <c r="B370">
        <v>2015</v>
      </c>
      <c r="C370" t="s">
        <v>86</v>
      </c>
      <c r="D370" t="s">
        <v>131</v>
      </c>
      <c r="E370" t="s">
        <v>121</v>
      </c>
      <c r="F370" t="s">
        <v>63</v>
      </c>
      <c r="G370" t="s">
        <v>16</v>
      </c>
      <c r="H370" t="s">
        <v>102</v>
      </c>
      <c r="I370" t="s">
        <v>97</v>
      </c>
      <c r="J370" t="s">
        <v>23</v>
      </c>
      <c r="K370">
        <v>0</v>
      </c>
      <c r="M370">
        <v>0.01</v>
      </c>
      <c r="N370" t="s">
        <v>1541</v>
      </c>
      <c r="P370">
        <v>34234</v>
      </c>
      <c r="Q370">
        <v>-0.27</v>
      </c>
      <c r="R370">
        <v>0.63</v>
      </c>
      <c r="S370" t="b">
        <v>0</v>
      </c>
      <c r="T370">
        <v>3</v>
      </c>
      <c r="U370">
        <v>2</v>
      </c>
      <c r="V370" t="s">
        <v>1381</v>
      </c>
    </row>
    <row r="371" spans="1:22" x14ac:dyDescent="0.25">
      <c r="A371" t="s">
        <v>1540</v>
      </c>
      <c r="B371">
        <v>2015</v>
      </c>
      <c r="C371" t="s">
        <v>348</v>
      </c>
      <c r="D371" t="s">
        <v>64</v>
      </c>
      <c r="E371" t="s">
        <v>121</v>
      </c>
      <c r="F371" t="s">
        <v>55</v>
      </c>
      <c r="G371" t="s">
        <v>5</v>
      </c>
      <c r="H371" t="s">
        <v>49</v>
      </c>
      <c r="I371" t="s">
        <v>90</v>
      </c>
      <c r="J371" t="s">
        <v>96</v>
      </c>
      <c r="K371">
        <v>0</v>
      </c>
      <c r="M371">
        <v>0.16</v>
      </c>
      <c r="N371" t="s">
        <v>1539</v>
      </c>
      <c r="P371">
        <v>92050</v>
      </c>
      <c r="Q371">
        <v>-4.26</v>
      </c>
      <c r="R371">
        <v>0.69</v>
      </c>
      <c r="S371" t="b">
        <v>0</v>
      </c>
      <c r="T371">
        <v>3</v>
      </c>
      <c r="U371">
        <v>17</v>
      </c>
      <c r="V371" t="s">
        <v>1381</v>
      </c>
    </row>
    <row r="372" spans="1:22" x14ac:dyDescent="0.25">
      <c r="A372" t="s">
        <v>1538</v>
      </c>
      <c r="B372">
        <v>2015</v>
      </c>
      <c r="C372" t="s">
        <v>215</v>
      </c>
      <c r="D372" t="s">
        <v>91</v>
      </c>
      <c r="E372" t="s">
        <v>147</v>
      </c>
      <c r="F372" t="s">
        <v>75</v>
      </c>
      <c r="G372" t="s">
        <v>135</v>
      </c>
      <c r="H372" t="s">
        <v>49</v>
      </c>
      <c r="I372" t="s">
        <v>3</v>
      </c>
      <c r="J372" t="s">
        <v>96</v>
      </c>
      <c r="K372">
        <v>1</v>
      </c>
      <c r="L372" t="s">
        <v>1536</v>
      </c>
      <c r="M372">
        <v>0.83</v>
      </c>
      <c r="N372" t="s">
        <v>1537</v>
      </c>
      <c r="O372" t="s">
        <v>1536</v>
      </c>
      <c r="P372">
        <v>82637</v>
      </c>
      <c r="Q372">
        <v>-3.81</v>
      </c>
      <c r="R372">
        <v>0.15</v>
      </c>
      <c r="S372" t="b">
        <v>1</v>
      </c>
      <c r="T372">
        <v>1</v>
      </c>
      <c r="U372">
        <v>9</v>
      </c>
      <c r="V372" t="s">
        <v>1381</v>
      </c>
    </row>
    <row r="373" spans="1:22" x14ac:dyDescent="0.25">
      <c r="A373" t="s">
        <v>1535</v>
      </c>
      <c r="B373">
        <v>2015</v>
      </c>
      <c r="C373" t="s">
        <v>171</v>
      </c>
      <c r="D373" t="s">
        <v>57</v>
      </c>
      <c r="E373" t="s">
        <v>86</v>
      </c>
      <c r="F373" t="s">
        <v>112</v>
      </c>
      <c r="G373" t="s">
        <v>16</v>
      </c>
      <c r="H373" t="s">
        <v>34</v>
      </c>
      <c r="I373" t="s">
        <v>3</v>
      </c>
      <c r="J373" t="s">
        <v>73</v>
      </c>
      <c r="K373">
        <v>0</v>
      </c>
      <c r="M373">
        <v>0.03</v>
      </c>
      <c r="N373" t="s">
        <v>1534</v>
      </c>
      <c r="P373">
        <v>76680</v>
      </c>
      <c r="Q373">
        <v>-1.48</v>
      </c>
      <c r="R373">
        <v>0.61</v>
      </c>
      <c r="S373" t="b">
        <v>0</v>
      </c>
      <c r="T373">
        <v>1</v>
      </c>
      <c r="U373">
        <v>13</v>
      </c>
      <c r="V373" t="s">
        <v>1381</v>
      </c>
    </row>
    <row r="374" spans="1:22" x14ac:dyDescent="0.25">
      <c r="A374" t="s">
        <v>1533</v>
      </c>
      <c r="B374">
        <v>2015</v>
      </c>
      <c r="C374" t="s">
        <v>236</v>
      </c>
      <c r="D374" t="s">
        <v>131</v>
      </c>
      <c r="E374" t="s">
        <v>130</v>
      </c>
      <c r="F374" t="s">
        <v>35</v>
      </c>
      <c r="G374" t="s">
        <v>5</v>
      </c>
      <c r="H374" t="s">
        <v>61</v>
      </c>
      <c r="I374" t="s">
        <v>40</v>
      </c>
      <c r="J374" t="s">
        <v>79</v>
      </c>
      <c r="K374">
        <v>0</v>
      </c>
      <c r="M374">
        <v>0.04</v>
      </c>
      <c r="N374" t="s">
        <v>1532</v>
      </c>
      <c r="P374">
        <v>39132</v>
      </c>
      <c r="Q374">
        <v>0.98</v>
      </c>
      <c r="R374">
        <v>0.69</v>
      </c>
      <c r="S374" t="b">
        <v>0</v>
      </c>
      <c r="T374">
        <v>1</v>
      </c>
      <c r="U374">
        <v>13</v>
      </c>
      <c r="V374" t="s">
        <v>1381</v>
      </c>
    </row>
    <row r="375" spans="1:22" x14ac:dyDescent="0.25">
      <c r="A375" t="s">
        <v>1531</v>
      </c>
      <c r="B375">
        <v>2015</v>
      </c>
      <c r="C375" t="s">
        <v>171</v>
      </c>
      <c r="D375" t="s">
        <v>57</v>
      </c>
      <c r="E375" t="s">
        <v>147</v>
      </c>
      <c r="F375" t="s">
        <v>156</v>
      </c>
      <c r="G375" t="s">
        <v>25</v>
      </c>
      <c r="H375" t="s">
        <v>4</v>
      </c>
      <c r="I375" t="s">
        <v>14</v>
      </c>
      <c r="J375" t="s">
        <v>73</v>
      </c>
      <c r="K375">
        <v>0</v>
      </c>
      <c r="M375">
        <v>0.03</v>
      </c>
      <c r="N375" t="s">
        <v>1530</v>
      </c>
      <c r="P375">
        <v>82412</v>
      </c>
      <c r="Q375">
        <v>-3.6</v>
      </c>
      <c r="R375">
        <v>0.86</v>
      </c>
      <c r="S375" t="b">
        <v>0</v>
      </c>
      <c r="T375">
        <v>1</v>
      </c>
      <c r="U375">
        <v>16</v>
      </c>
      <c r="V375" t="s">
        <v>1381</v>
      </c>
    </row>
    <row r="376" spans="1:22" x14ac:dyDescent="0.25">
      <c r="A376" t="s">
        <v>1529</v>
      </c>
      <c r="B376">
        <v>2015</v>
      </c>
      <c r="C376" t="s">
        <v>51</v>
      </c>
      <c r="D376" t="s">
        <v>18</v>
      </c>
      <c r="E376" t="s">
        <v>147</v>
      </c>
      <c r="F376" t="s">
        <v>63</v>
      </c>
      <c r="G376" t="s">
        <v>135</v>
      </c>
      <c r="H376" t="s">
        <v>141</v>
      </c>
      <c r="I376" t="s">
        <v>33</v>
      </c>
      <c r="J376" t="s">
        <v>23</v>
      </c>
      <c r="K376">
        <v>0</v>
      </c>
      <c r="M376">
        <v>7.0000000000000007E-2</v>
      </c>
      <c r="N376" t="s">
        <v>1528</v>
      </c>
      <c r="P376">
        <v>68705</v>
      </c>
      <c r="Q376">
        <v>4.7</v>
      </c>
      <c r="R376">
        <v>0.88</v>
      </c>
      <c r="S376" t="b">
        <v>0</v>
      </c>
      <c r="T376">
        <v>1</v>
      </c>
      <c r="U376">
        <v>0</v>
      </c>
      <c r="V376" t="s">
        <v>1381</v>
      </c>
    </row>
    <row r="377" spans="1:22" x14ac:dyDescent="0.25">
      <c r="A377" t="s">
        <v>1527</v>
      </c>
      <c r="B377">
        <v>2015</v>
      </c>
      <c r="C377" t="s">
        <v>98</v>
      </c>
      <c r="D377" t="s">
        <v>43</v>
      </c>
      <c r="E377" t="s">
        <v>17</v>
      </c>
      <c r="F377" t="s">
        <v>124</v>
      </c>
      <c r="G377" t="s">
        <v>25</v>
      </c>
      <c r="H377" t="s">
        <v>34</v>
      </c>
      <c r="I377" t="s">
        <v>40</v>
      </c>
      <c r="J377" t="s">
        <v>79</v>
      </c>
      <c r="K377">
        <v>0</v>
      </c>
      <c r="M377">
        <v>0.02</v>
      </c>
      <c r="N377" t="s">
        <v>1526</v>
      </c>
      <c r="P377">
        <v>78405</v>
      </c>
      <c r="Q377">
        <v>4.1399999999999997</v>
      </c>
      <c r="R377">
        <v>0.8</v>
      </c>
      <c r="S377" t="b">
        <v>0</v>
      </c>
      <c r="T377">
        <v>1</v>
      </c>
      <c r="U377">
        <v>13</v>
      </c>
      <c r="V377" t="s">
        <v>1381</v>
      </c>
    </row>
    <row r="378" spans="1:22" x14ac:dyDescent="0.25">
      <c r="A378" t="s">
        <v>1525</v>
      </c>
      <c r="B378">
        <v>2015</v>
      </c>
      <c r="C378" t="s">
        <v>176</v>
      </c>
      <c r="D378" t="s">
        <v>64</v>
      </c>
      <c r="E378" t="s">
        <v>219</v>
      </c>
      <c r="F378" t="s">
        <v>55</v>
      </c>
      <c r="G378" t="s">
        <v>135</v>
      </c>
      <c r="H378" t="s">
        <v>102</v>
      </c>
      <c r="I378" t="s">
        <v>33</v>
      </c>
      <c r="J378" t="s">
        <v>96</v>
      </c>
      <c r="K378">
        <v>1</v>
      </c>
      <c r="L378" t="s">
        <v>1523</v>
      </c>
      <c r="M378">
        <v>0.45</v>
      </c>
      <c r="N378" t="s">
        <v>1524</v>
      </c>
      <c r="O378" t="s">
        <v>1523</v>
      </c>
      <c r="P378">
        <v>105127</v>
      </c>
      <c r="Q378">
        <v>4.38</v>
      </c>
      <c r="R378">
        <v>0.16</v>
      </c>
      <c r="S378" t="b">
        <v>1</v>
      </c>
      <c r="T378">
        <v>3</v>
      </c>
      <c r="U378">
        <v>12</v>
      </c>
      <c r="V378" t="s">
        <v>1381</v>
      </c>
    </row>
    <row r="379" spans="1:22" x14ac:dyDescent="0.25">
      <c r="A379" t="s">
        <v>1522</v>
      </c>
      <c r="B379">
        <v>2015</v>
      </c>
      <c r="C379" t="s">
        <v>176</v>
      </c>
      <c r="D379" t="s">
        <v>64</v>
      </c>
      <c r="E379" t="s">
        <v>17</v>
      </c>
      <c r="F379" t="s">
        <v>69</v>
      </c>
      <c r="G379" t="s">
        <v>16</v>
      </c>
      <c r="H379" t="s">
        <v>4</v>
      </c>
      <c r="I379" t="s">
        <v>74</v>
      </c>
      <c r="J379" t="s">
        <v>96</v>
      </c>
      <c r="K379">
        <v>0</v>
      </c>
      <c r="M379">
        <v>0.15</v>
      </c>
      <c r="N379" t="s">
        <v>1521</v>
      </c>
      <c r="P379">
        <v>92451</v>
      </c>
      <c r="Q379">
        <v>4.84</v>
      </c>
      <c r="R379">
        <v>0.84</v>
      </c>
      <c r="S379" t="b">
        <v>0</v>
      </c>
      <c r="T379">
        <v>1</v>
      </c>
      <c r="U379">
        <v>2</v>
      </c>
      <c r="V379" t="s">
        <v>1381</v>
      </c>
    </row>
    <row r="380" spans="1:22" x14ac:dyDescent="0.25">
      <c r="A380" t="s">
        <v>1520</v>
      </c>
      <c r="B380">
        <v>2015</v>
      </c>
      <c r="C380" t="s">
        <v>126</v>
      </c>
      <c r="D380" t="s">
        <v>125</v>
      </c>
      <c r="E380" t="s">
        <v>182</v>
      </c>
      <c r="F380" t="s">
        <v>41</v>
      </c>
      <c r="G380" t="s">
        <v>5</v>
      </c>
      <c r="H380" t="s">
        <v>141</v>
      </c>
      <c r="I380" t="s">
        <v>3</v>
      </c>
      <c r="J380" t="s">
        <v>13</v>
      </c>
      <c r="K380">
        <v>0</v>
      </c>
      <c r="M380">
        <v>7.0000000000000007E-2</v>
      </c>
      <c r="N380" t="s">
        <v>1519</v>
      </c>
      <c r="P380">
        <v>21429</v>
      </c>
      <c r="Q380">
        <v>-4.43</v>
      </c>
      <c r="R380">
        <v>0.7</v>
      </c>
      <c r="S380" t="b">
        <v>0</v>
      </c>
      <c r="T380">
        <v>3</v>
      </c>
      <c r="U380">
        <v>5</v>
      </c>
      <c r="V380" t="s">
        <v>1381</v>
      </c>
    </row>
    <row r="381" spans="1:22" x14ac:dyDescent="0.25">
      <c r="A381" t="s">
        <v>1518</v>
      </c>
      <c r="B381">
        <v>2015</v>
      </c>
      <c r="C381" t="s">
        <v>245</v>
      </c>
      <c r="D381" t="s">
        <v>125</v>
      </c>
      <c r="E381" t="s">
        <v>42</v>
      </c>
      <c r="F381" t="s">
        <v>26</v>
      </c>
      <c r="G381" t="s">
        <v>5</v>
      </c>
      <c r="H381" t="s">
        <v>15</v>
      </c>
      <c r="I381" t="s">
        <v>68</v>
      </c>
      <c r="J381" t="s">
        <v>73</v>
      </c>
      <c r="K381">
        <v>0</v>
      </c>
      <c r="M381">
        <v>0.08</v>
      </c>
      <c r="N381" t="s">
        <v>1517</v>
      </c>
      <c r="P381">
        <v>19843</v>
      </c>
      <c r="Q381">
        <v>4.51</v>
      </c>
      <c r="R381">
        <v>0.87</v>
      </c>
      <c r="S381" t="b">
        <v>0</v>
      </c>
      <c r="T381">
        <v>2</v>
      </c>
      <c r="U381">
        <v>10</v>
      </c>
      <c r="V381" t="s">
        <v>1381</v>
      </c>
    </row>
    <row r="382" spans="1:22" x14ac:dyDescent="0.25">
      <c r="A382" t="s">
        <v>1516</v>
      </c>
      <c r="B382">
        <v>2016</v>
      </c>
      <c r="C382" t="s">
        <v>164</v>
      </c>
      <c r="D382" t="s">
        <v>8</v>
      </c>
      <c r="E382" t="s">
        <v>27</v>
      </c>
      <c r="F382" t="s">
        <v>41</v>
      </c>
      <c r="G382" t="s">
        <v>16</v>
      </c>
      <c r="H382" t="s">
        <v>49</v>
      </c>
      <c r="I382" t="s">
        <v>107</v>
      </c>
      <c r="J382" t="s">
        <v>2</v>
      </c>
      <c r="K382">
        <v>0</v>
      </c>
      <c r="M382">
        <v>0.15</v>
      </c>
      <c r="N382" t="s">
        <v>1515</v>
      </c>
      <c r="P382">
        <v>27035</v>
      </c>
      <c r="Q382">
        <v>3.55</v>
      </c>
      <c r="R382">
        <v>0.86</v>
      </c>
      <c r="S382" t="b">
        <v>0</v>
      </c>
      <c r="T382">
        <v>3</v>
      </c>
      <c r="U382">
        <v>2</v>
      </c>
      <c r="V382" t="s">
        <v>1381</v>
      </c>
    </row>
    <row r="383" spans="1:22" x14ac:dyDescent="0.25">
      <c r="A383" t="s">
        <v>1514</v>
      </c>
      <c r="B383">
        <v>2016</v>
      </c>
      <c r="C383" t="s">
        <v>281</v>
      </c>
      <c r="D383" t="s">
        <v>91</v>
      </c>
      <c r="E383" t="s">
        <v>86</v>
      </c>
      <c r="F383" t="s">
        <v>156</v>
      </c>
      <c r="G383" t="s">
        <v>62</v>
      </c>
      <c r="H383" t="s">
        <v>4</v>
      </c>
      <c r="I383" t="s">
        <v>33</v>
      </c>
      <c r="J383" t="s">
        <v>73</v>
      </c>
      <c r="K383">
        <v>0</v>
      </c>
      <c r="M383">
        <v>0.11</v>
      </c>
      <c r="N383" t="s">
        <v>1513</v>
      </c>
      <c r="P383">
        <v>63931</v>
      </c>
      <c r="Q383">
        <v>0.3</v>
      </c>
      <c r="R383">
        <v>0.6</v>
      </c>
      <c r="S383" t="b">
        <v>0</v>
      </c>
      <c r="T383">
        <v>1</v>
      </c>
      <c r="U383">
        <v>15</v>
      </c>
      <c r="V383" t="s">
        <v>1381</v>
      </c>
    </row>
    <row r="384" spans="1:22" x14ac:dyDescent="0.25">
      <c r="A384" t="s">
        <v>1512</v>
      </c>
      <c r="B384">
        <v>2016</v>
      </c>
      <c r="C384" t="s">
        <v>58</v>
      </c>
      <c r="D384" t="s">
        <v>57</v>
      </c>
      <c r="E384" t="s">
        <v>219</v>
      </c>
      <c r="F384" t="s">
        <v>156</v>
      </c>
      <c r="G384" t="s">
        <v>135</v>
      </c>
      <c r="H384" t="s">
        <v>49</v>
      </c>
      <c r="I384" t="s">
        <v>33</v>
      </c>
      <c r="J384" t="s">
        <v>73</v>
      </c>
      <c r="K384">
        <v>0</v>
      </c>
      <c r="M384">
        <v>0.1</v>
      </c>
      <c r="N384" t="s">
        <v>1511</v>
      </c>
      <c r="P384">
        <v>82640</v>
      </c>
      <c r="Q384">
        <v>1.91</v>
      </c>
      <c r="R384">
        <v>0.79</v>
      </c>
      <c r="S384" t="b">
        <v>0</v>
      </c>
      <c r="T384">
        <v>3</v>
      </c>
      <c r="U384">
        <v>11</v>
      </c>
      <c r="V384" t="s">
        <v>1381</v>
      </c>
    </row>
    <row r="385" spans="1:22" x14ac:dyDescent="0.25">
      <c r="A385" t="s">
        <v>1510</v>
      </c>
      <c r="B385">
        <v>2016</v>
      </c>
      <c r="C385" t="s">
        <v>152</v>
      </c>
      <c r="D385" t="s">
        <v>28</v>
      </c>
      <c r="E385" t="s">
        <v>7</v>
      </c>
      <c r="F385" t="s">
        <v>136</v>
      </c>
      <c r="G385" t="s">
        <v>16</v>
      </c>
      <c r="H385" t="s">
        <v>85</v>
      </c>
      <c r="I385" t="s">
        <v>24</v>
      </c>
      <c r="J385" t="s">
        <v>2</v>
      </c>
      <c r="K385">
        <v>0</v>
      </c>
      <c r="M385">
        <v>0.03</v>
      </c>
      <c r="N385" t="s">
        <v>1509</v>
      </c>
      <c r="P385">
        <v>36035</v>
      </c>
      <c r="Q385">
        <v>-4.97</v>
      </c>
      <c r="R385">
        <v>0.74</v>
      </c>
      <c r="S385" t="b">
        <v>0</v>
      </c>
      <c r="T385">
        <v>2</v>
      </c>
      <c r="U385">
        <v>18</v>
      </c>
      <c r="V385" t="s">
        <v>1381</v>
      </c>
    </row>
    <row r="386" spans="1:22" x14ac:dyDescent="0.25">
      <c r="A386" t="s">
        <v>1508</v>
      </c>
      <c r="B386">
        <v>2016</v>
      </c>
      <c r="C386" t="s">
        <v>413</v>
      </c>
      <c r="D386" t="s">
        <v>8</v>
      </c>
      <c r="E386" t="s">
        <v>7</v>
      </c>
      <c r="F386" t="s">
        <v>35</v>
      </c>
      <c r="G386" t="s">
        <v>135</v>
      </c>
      <c r="H386" t="s">
        <v>85</v>
      </c>
      <c r="I386" t="s">
        <v>33</v>
      </c>
      <c r="J386" t="s">
        <v>73</v>
      </c>
      <c r="K386">
        <v>0</v>
      </c>
      <c r="M386">
        <v>0.18</v>
      </c>
      <c r="N386" t="s">
        <v>1507</v>
      </c>
      <c r="P386">
        <v>24636</v>
      </c>
      <c r="Q386">
        <v>-1.91</v>
      </c>
      <c r="R386">
        <v>0.73</v>
      </c>
      <c r="S386" t="b">
        <v>0</v>
      </c>
      <c r="T386">
        <v>2</v>
      </c>
      <c r="U386">
        <v>16</v>
      </c>
      <c r="V386" t="s">
        <v>1381</v>
      </c>
    </row>
    <row r="387" spans="1:22" x14ac:dyDescent="0.25">
      <c r="A387" t="s">
        <v>1506</v>
      </c>
      <c r="B387">
        <v>2016</v>
      </c>
      <c r="C387" t="s">
        <v>176</v>
      </c>
      <c r="D387" t="s">
        <v>64</v>
      </c>
      <c r="E387" t="s">
        <v>27</v>
      </c>
      <c r="F387" t="s">
        <v>63</v>
      </c>
      <c r="G387" t="s">
        <v>135</v>
      </c>
      <c r="H387" t="s">
        <v>85</v>
      </c>
      <c r="I387" t="s">
        <v>97</v>
      </c>
      <c r="J387" t="s">
        <v>23</v>
      </c>
      <c r="K387">
        <v>0</v>
      </c>
      <c r="M387">
        <v>0.15</v>
      </c>
      <c r="N387" t="s">
        <v>1505</v>
      </c>
      <c r="P387">
        <v>77382</v>
      </c>
      <c r="Q387">
        <v>-3.8</v>
      </c>
      <c r="R387">
        <v>0.75</v>
      </c>
      <c r="S387" t="b">
        <v>0</v>
      </c>
      <c r="T387">
        <v>2</v>
      </c>
      <c r="U387">
        <v>1</v>
      </c>
      <c r="V387" t="s">
        <v>1381</v>
      </c>
    </row>
    <row r="388" spans="1:22" x14ac:dyDescent="0.25">
      <c r="A388" t="s">
        <v>1504</v>
      </c>
      <c r="B388">
        <v>2016</v>
      </c>
      <c r="C388" t="s">
        <v>183</v>
      </c>
      <c r="D388" t="s">
        <v>131</v>
      </c>
      <c r="E388" t="s">
        <v>50</v>
      </c>
      <c r="F388" t="s">
        <v>35</v>
      </c>
      <c r="G388" t="s">
        <v>62</v>
      </c>
      <c r="H388" t="s">
        <v>15</v>
      </c>
      <c r="I388" t="s">
        <v>3</v>
      </c>
      <c r="J388" t="s">
        <v>96</v>
      </c>
      <c r="K388">
        <v>0</v>
      </c>
      <c r="M388">
        <v>0.01</v>
      </c>
      <c r="N388" t="s">
        <v>428</v>
      </c>
      <c r="P388">
        <v>39093</v>
      </c>
      <c r="Q388">
        <v>2.95</v>
      </c>
      <c r="R388">
        <v>0.8</v>
      </c>
      <c r="S388" t="b">
        <v>0</v>
      </c>
      <c r="T388">
        <v>3</v>
      </c>
      <c r="U388">
        <v>15</v>
      </c>
      <c r="V388" t="s">
        <v>1381</v>
      </c>
    </row>
    <row r="389" spans="1:22" x14ac:dyDescent="0.25">
      <c r="A389" t="s">
        <v>1503</v>
      </c>
      <c r="B389">
        <v>2016</v>
      </c>
      <c r="C389" t="s">
        <v>81</v>
      </c>
      <c r="D389" t="s">
        <v>28</v>
      </c>
      <c r="E389" t="s">
        <v>27</v>
      </c>
      <c r="F389" t="s">
        <v>124</v>
      </c>
      <c r="G389" t="s">
        <v>25</v>
      </c>
      <c r="H389" t="s">
        <v>4</v>
      </c>
      <c r="I389" t="s">
        <v>14</v>
      </c>
      <c r="J389" t="s">
        <v>79</v>
      </c>
      <c r="K389">
        <v>0</v>
      </c>
      <c r="M389">
        <v>0.18</v>
      </c>
      <c r="N389" t="s">
        <v>1502</v>
      </c>
      <c r="P389">
        <v>46431</v>
      </c>
      <c r="Q389">
        <v>-4.33</v>
      </c>
      <c r="R389">
        <v>0.72</v>
      </c>
      <c r="S389" t="b">
        <v>0</v>
      </c>
      <c r="T389">
        <v>1</v>
      </c>
      <c r="U389">
        <v>13</v>
      </c>
      <c r="V389" t="s">
        <v>1381</v>
      </c>
    </row>
    <row r="390" spans="1:22" x14ac:dyDescent="0.25">
      <c r="A390" t="s">
        <v>1501</v>
      </c>
      <c r="B390">
        <v>2016</v>
      </c>
      <c r="C390" t="s">
        <v>51</v>
      </c>
      <c r="D390" t="s">
        <v>18</v>
      </c>
      <c r="E390" t="s">
        <v>56</v>
      </c>
      <c r="F390" t="s">
        <v>63</v>
      </c>
      <c r="G390" t="s">
        <v>135</v>
      </c>
      <c r="H390" t="s">
        <v>179</v>
      </c>
      <c r="I390" t="s">
        <v>3</v>
      </c>
      <c r="J390" t="s">
        <v>13</v>
      </c>
      <c r="K390">
        <v>0</v>
      </c>
      <c r="M390">
        <v>0.13</v>
      </c>
      <c r="N390" t="s">
        <v>1500</v>
      </c>
      <c r="P390">
        <v>64427</v>
      </c>
      <c r="Q390">
        <v>4.41</v>
      </c>
      <c r="R390">
        <v>0.71</v>
      </c>
      <c r="S390" t="b">
        <v>0</v>
      </c>
      <c r="T390">
        <v>1</v>
      </c>
      <c r="U390">
        <v>11</v>
      </c>
      <c r="V390" t="s">
        <v>1381</v>
      </c>
    </row>
    <row r="391" spans="1:22" x14ac:dyDescent="0.25">
      <c r="A391" t="s">
        <v>1499</v>
      </c>
      <c r="B391">
        <v>2016</v>
      </c>
      <c r="C391" t="s">
        <v>167</v>
      </c>
      <c r="D391" t="s">
        <v>43</v>
      </c>
      <c r="E391" t="s">
        <v>50</v>
      </c>
      <c r="F391" t="s">
        <v>26</v>
      </c>
      <c r="G391" t="s">
        <v>5</v>
      </c>
      <c r="H391" t="s">
        <v>179</v>
      </c>
      <c r="I391" t="s">
        <v>107</v>
      </c>
      <c r="J391" t="s">
        <v>96</v>
      </c>
      <c r="K391">
        <v>0</v>
      </c>
      <c r="M391">
        <v>0.18</v>
      </c>
      <c r="N391" t="s">
        <v>1498</v>
      </c>
      <c r="P391">
        <v>81136</v>
      </c>
      <c r="Q391">
        <v>-3.57</v>
      </c>
      <c r="R391">
        <v>0.86</v>
      </c>
      <c r="S391" t="b">
        <v>0</v>
      </c>
      <c r="T391">
        <v>2</v>
      </c>
      <c r="U391">
        <v>6</v>
      </c>
      <c r="V391" t="s">
        <v>1381</v>
      </c>
    </row>
    <row r="392" spans="1:22" x14ac:dyDescent="0.25">
      <c r="A392" t="s">
        <v>1497</v>
      </c>
      <c r="B392">
        <v>2016</v>
      </c>
      <c r="C392" t="s">
        <v>382</v>
      </c>
      <c r="D392" t="s">
        <v>125</v>
      </c>
      <c r="E392" t="s">
        <v>86</v>
      </c>
      <c r="F392" t="s">
        <v>115</v>
      </c>
      <c r="G392" t="s">
        <v>5</v>
      </c>
      <c r="H392" t="s">
        <v>179</v>
      </c>
      <c r="I392" t="s">
        <v>24</v>
      </c>
      <c r="J392" t="s">
        <v>96</v>
      </c>
      <c r="K392">
        <v>0</v>
      </c>
      <c r="M392">
        <v>0.01</v>
      </c>
      <c r="N392" t="s">
        <v>647</v>
      </c>
      <c r="P392">
        <v>21216</v>
      </c>
      <c r="Q392">
        <v>-2.92</v>
      </c>
      <c r="R392">
        <v>0.88</v>
      </c>
      <c r="S392" t="b">
        <v>0</v>
      </c>
      <c r="T392">
        <v>1</v>
      </c>
      <c r="U392">
        <v>16</v>
      </c>
      <c r="V392" t="s">
        <v>1381</v>
      </c>
    </row>
    <row r="393" spans="1:22" x14ac:dyDescent="0.25">
      <c r="A393" t="s">
        <v>1496</v>
      </c>
      <c r="B393">
        <v>2016</v>
      </c>
      <c r="C393" t="s">
        <v>58</v>
      </c>
      <c r="D393" t="s">
        <v>57</v>
      </c>
      <c r="E393" t="s">
        <v>56</v>
      </c>
      <c r="F393" t="s">
        <v>35</v>
      </c>
      <c r="G393" t="s">
        <v>5</v>
      </c>
      <c r="H393" t="s">
        <v>85</v>
      </c>
      <c r="I393" t="s">
        <v>74</v>
      </c>
      <c r="J393" t="s">
        <v>23</v>
      </c>
      <c r="K393">
        <v>1</v>
      </c>
      <c r="L393" t="s">
        <v>346</v>
      </c>
      <c r="M393">
        <v>0.93</v>
      </c>
      <c r="N393" t="s">
        <v>1495</v>
      </c>
      <c r="O393" t="s">
        <v>346</v>
      </c>
      <c r="P393">
        <v>114952</v>
      </c>
      <c r="Q393">
        <v>-3.81</v>
      </c>
      <c r="R393">
        <v>0.11</v>
      </c>
      <c r="S393" t="b">
        <v>1</v>
      </c>
      <c r="T393">
        <v>1</v>
      </c>
      <c r="U393">
        <v>4</v>
      </c>
      <c r="V393" t="s">
        <v>1381</v>
      </c>
    </row>
    <row r="394" spans="1:22" x14ac:dyDescent="0.25">
      <c r="A394" t="s">
        <v>1494</v>
      </c>
      <c r="B394">
        <v>2016</v>
      </c>
      <c r="C394" t="s">
        <v>65</v>
      </c>
      <c r="D394" t="s">
        <v>64</v>
      </c>
      <c r="E394" t="s">
        <v>130</v>
      </c>
      <c r="F394" t="s">
        <v>108</v>
      </c>
      <c r="G394" t="s">
        <v>25</v>
      </c>
      <c r="H394" t="s">
        <v>179</v>
      </c>
      <c r="I394" t="s">
        <v>33</v>
      </c>
      <c r="J394" t="s">
        <v>2</v>
      </c>
      <c r="K394">
        <v>1</v>
      </c>
      <c r="L394" t="s">
        <v>346</v>
      </c>
      <c r="M394">
        <v>0.93</v>
      </c>
      <c r="N394" t="s">
        <v>1493</v>
      </c>
      <c r="O394" t="s">
        <v>346</v>
      </c>
      <c r="P394">
        <v>125121</v>
      </c>
      <c r="Q394">
        <v>0.33</v>
      </c>
      <c r="R394">
        <v>0.28999999999999998</v>
      </c>
      <c r="S394" t="b">
        <v>1</v>
      </c>
      <c r="T394">
        <v>1</v>
      </c>
      <c r="U394">
        <v>2</v>
      </c>
      <c r="V394" t="s">
        <v>1381</v>
      </c>
    </row>
    <row r="395" spans="1:22" x14ac:dyDescent="0.25">
      <c r="A395" t="s">
        <v>1492</v>
      </c>
      <c r="B395">
        <v>2016</v>
      </c>
      <c r="C395" t="s">
        <v>117</v>
      </c>
      <c r="D395" t="s">
        <v>91</v>
      </c>
      <c r="E395" t="s">
        <v>121</v>
      </c>
      <c r="F395" t="s">
        <v>35</v>
      </c>
      <c r="G395" t="s">
        <v>135</v>
      </c>
      <c r="H395" t="s">
        <v>15</v>
      </c>
      <c r="I395" t="s">
        <v>33</v>
      </c>
      <c r="J395" t="s">
        <v>13</v>
      </c>
      <c r="K395">
        <v>0</v>
      </c>
      <c r="M395">
        <v>0.05</v>
      </c>
      <c r="N395" t="s">
        <v>1491</v>
      </c>
      <c r="P395">
        <v>54847</v>
      </c>
      <c r="Q395">
        <v>-2.71</v>
      </c>
      <c r="R395">
        <v>0.85</v>
      </c>
      <c r="S395" t="b">
        <v>0</v>
      </c>
      <c r="T395">
        <v>2</v>
      </c>
      <c r="U395">
        <v>11</v>
      </c>
      <c r="V395" t="s">
        <v>1381</v>
      </c>
    </row>
    <row r="396" spans="1:22" x14ac:dyDescent="0.25">
      <c r="A396" t="s">
        <v>1490</v>
      </c>
      <c r="B396">
        <v>2016</v>
      </c>
      <c r="C396" t="s">
        <v>164</v>
      </c>
      <c r="D396" t="s">
        <v>8</v>
      </c>
      <c r="E396" t="s">
        <v>219</v>
      </c>
      <c r="F396" t="s">
        <v>26</v>
      </c>
      <c r="G396" t="s">
        <v>135</v>
      </c>
      <c r="H396" t="s">
        <v>141</v>
      </c>
      <c r="I396" t="s">
        <v>90</v>
      </c>
      <c r="J396" t="s">
        <v>73</v>
      </c>
      <c r="K396">
        <v>0</v>
      </c>
      <c r="M396">
        <v>0.06</v>
      </c>
      <c r="N396" t="s">
        <v>1489</v>
      </c>
      <c r="P396">
        <v>22361</v>
      </c>
      <c r="Q396">
        <v>0.1</v>
      </c>
      <c r="R396">
        <v>0.83</v>
      </c>
      <c r="S396" t="b">
        <v>0</v>
      </c>
      <c r="T396">
        <v>3</v>
      </c>
      <c r="U396">
        <v>12</v>
      </c>
      <c r="V396" t="s">
        <v>1381</v>
      </c>
    </row>
    <row r="397" spans="1:22" x14ac:dyDescent="0.25">
      <c r="A397" t="s">
        <v>1488</v>
      </c>
      <c r="B397">
        <v>2016</v>
      </c>
      <c r="C397" t="s">
        <v>171</v>
      </c>
      <c r="D397" t="s">
        <v>57</v>
      </c>
      <c r="E397" t="s">
        <v>116</v>
      </c>
      <c r="F397" t="s">
        <v>115</v>
      </c>
      <c r="G397" t="s">
        <v>25</v>
      </c>
      <c r="H397" t="s">
        <v>4</v>
      </c>
      <c r="I397" t="s">
        <v>14</v>
      </c>
      <c r="J397" t="s">
        <v>2</v>
      </c>
      <c r="K397">
        <v>0</v>
      </c>
      <c r="M397">
        <v>0.15</v>
      </c>
      <c r="N397" t="s">
        <v>1487</v>
      </c>
      <c r="P397">
        <v>71530</v>
      </c>
      <c r="Q397">
        <v>3.31</v>
      </c>
      <c r="R397">
        <v>0.87</v>
      </c>
      <c r="S397" t="b">
        <v>0</v>
      </c>
      <c r="T397">
        <v>2</v>
      </c>
      <c r="U397">
        <v>5</v>
      </c>
      <c r="V397" t="s">
        <v>1381</v>
      </c>
    </row>
    <row r="398" spans="1:22" x14ac:dyDescent="0.25">
      <c r="A398" t="s">
        <v>1486</v>
      </c>
      <c r="B398">
        <v>2016</v>
      </c>
      <c r="C398" t="s">
        <v>311</v>
      </c>
      <c r="D398" t="s">
        <v>125</v>
      </c>
      <c r="E398" t="s">
        <v>182</v>
      </c>
      <c r="F398" t="s">
        <v>26</v>
      </c>
      <c r="G398" t="s">
        <v>25</v>
      </c>
      <c r="H398" t="s">
        <v>34</v>
      </c>
      <c r="I398" t="s">
        <v>90</v>
      </c>
      <c r="J398" t="s">
        <v>96</v>
      </c>
      <c r="K398">
        <v>0</v>
      </c>
      <c r="M398">
        <v>0.05</v>
      </c>
      <c r="N398" t="s">
        <v>1485</v>
      </c>
      <c r="P398">
        <v>21131</v>
      </c>
      <c r="Q398">
        <v>2.2999999999999998</v>
      </c>
      <c r="R398">
        <v>0.64</v>
      </c>
      <c r="S398" t="b">
        <v>0</v>
      </c>
      <c r="T398">
        <v>2</v>
      </c>
      <c r="U398">
        <v>6</v>
      </c>
      <c r="V398" t="s">
        <v>1381</v>
      </c>
    </row>
    <row r="399" spans="1:22" x14ac:dyDescent="0.25">
      <c r="A399" t="s">
        <v>1484</v>
      </c>
      <c r="B399">
        <v>2016</v>
      </c>
      <c r="C399" t="s">
        <v>117</v>
      </c>
      <c r="D399" t="s">
        <v>91</v>
      </c>
      <c r="E399" t="s">
        <v>42</v>
      </c>
      <c r="F399" t="s">
        <v>103</v>
      </c>
      <c r="G399" t="s">
        <v>135</v>
      </c>
      <c r="H399" t="s">
        <v>49</v>
      </c>
      <c r="I399" t="s">
        <v>14</v>
      </c>
      <c r="J399" t="s">
        <v>23</v>
      </c>
      <c r="K399">
        <v>1</v>
      </c>
      <c r="L399" t="s">
        <v>1482</v>
      </c>
      <c r="M399">
        <v>0.73</v>
      </c>
      <c r="N399" t="s">
        <v>1483</v>
      </c>
      <c r="O399" t="s">
        <v>1482</v>
      </c>
      <c r="P399">
        <v>75932</v>
      </c>
      <c r="Q399">
        <v>-4.74</v>
      </c>
      <c r="R399">
        <v>0.12</v>
      </c>
      <c r="S399" t="b">
        <v>1</v>
      </c>
      <c r="T399">
        <v>1</v>
      </c>
      <c r="U399">
        <v>6</v>
      </c>
      <c r="V399" t="s">
        <v>1381</v>
      </c>
    </row>
    <row r="400" spans="1:22" x14ac:dyDescent="0.25">
      <c r="A400" t="s">
        <v>1481</v>
      </c>
      <c r="B400">
        <v>2016</v>
      </c>
      <c r="C400" t="s">
        <v>304</v>
      </c>
      <c r="D400" t="s">
        <v>131</v>
      </c>
      <c r="E400" t="s">
        <v>147</v>
      </c>
      <c r="F400" t="s">
        <v>80</v>
      </c>
      <c r="G400" t="s">
        <v>16</v>
      </c>
      <c r="H400" t="s">
        <v>15</v>
      </c>
      <c r="I400" t="s">
        <v>40</v>
      </c>
      <c r="J400" t="s">
        <v>96</v>
      </c>
      <c r="K400">
        <v>0</v>
      </c>
      <c r="M400">
        <v>0.14000000000000001</v>
      </c>
      <c r="N400" t="s">
        <v>1480</v>
      </c>
      <c r="P400">
        <v>39724</v>
      </c>
      <c r="Q400">
        <v>2.96</v>
      </c>
      <c r="R400">
        <v>0.82</v>
      </c>
      <c r="S400" t="b">
        <v>0</v>
      </c>
      <c r="T400">
        <v>3</v>
      </c>
      <c r="U400">
        <v>5</v>
      </c>
      <c r="V400" t="s">
        <v>1381</v>
      </c>
    </row>
    <row r="401" spans="1:22" x14ac:dyDescent="0.25">
      <c r="A401" t="s">
        <v>1479</v>
      </c>
      <c r="B401">
        <v>2016</v>
      </c>
      <c r="C401" t="s">
        <v>70</v>
      </c>
      <c r="D401" t="s">
        <v>18</v>
      </c>
      <c r="E401" t="s">
        <v>17</v>
      </c>
      <c r="F401" t="s">
        <v>108</v>
      </c>
      <c r="G401" t="s">
        <v>5</v>
      </c>
      <c r="H401" t="s">
        <v>4</v>
      </c>
      <c r="I401" t="s">
        <v>97</v>
      </c>
      <c r="J401" t="s">
        <v>2</v>
      </c>
      <c r="K401">
        <v>1</v>
      </c>
      <c r="L401" t="s">
        <v>1477</v>
      </c>
      <c r="M401">
        <v>0.95</v>
      </c>
      <c r="N401" t="s">
        <v>1478</v>
      </c>
      <c r="O401" t="s">
        <v>1477</v>
      </c>
      <c r="P401">
        <v>95495</v>
      </c>
      <c r="Q401">
        <v>-3.66</v>
      </c>
      <c r="R401">
        <v>0.12</v>
      </c>
      <c r="S401" t="b">
        <v>1</v>
      </c>
      <c r="T401">
        <v>3</v>
      </c>
      <c r="U401">
        <v>19</v>
      </c>
      <c r="V401" t="s">
        <v>1381</v>
      </c>
    </row>
    <row r="402" spans="1:22" x14ac:dyDescent="0.25">
      <c r="A402" t="s">
        <v>1476</v>
      </c>
      <c r="B402">
        <v>2016</v>
      </c>
      <c r="C402" t="s">
        <v>220</v>
      </c>
      <c r="D402" t="s">
        <v>91</v>
      </c>
      <c r="E402" t="s">
        <v>7</v>
      </c>
      <c r="F402" t="s">
        <v>80</v>
      </c>
      <c r="G402" t="s">
        <v>16</v>
      </c>
      <c r="H402" t="s">
        <v>102</v>
      </c>
      <c r="I402" t="s">
        <v>33</v>
      </c>
      <c r="J402" t="s">
        <v>23</v>
      </c>
      <c r="K402">
        <v>0</v>
      </c>
      <c r="M402">
        <v>0.01</v>
      </c>
      <c r="N402" t="s">
        <v>1475</v>
      </c>
      <c r="P402">
        <v>60666</v>
      </c>
      <c r="Q402">
        <v>3.94</v>
      </c>
      <c r="R402">
        <v>0.67</v>
      </c>
      <c r="S402" t="b">
        <v>0</v>
      </c>
      <c r="T402">
        <v>1</v>
      </c>
      <c r="U402">
        <v>8</v>
      </c>
      <c r="V402" t="s">
        <v>1381</v>
      </c>
    </row>
    <row r="403" spans="1:22" x14ac:dyDescent="0.25">
      <c r="A403" t="s">
        <v>1474</v>
      </c>
      <c r="B403">
        <v>2016</v>
      </c>
      <c r="C403" t="s">
        <v>171</v>
      </c>
      <c r="D403" t="s">
        <v>57</v>
      </c>
      <c r="E403" t="s">
        <v>182</v>
      </c>
      <c r="F403" t="s">
        <v>136</v>
      </c>
      <c r="G403" t="s">
        <v>62</v>
      </c>
      <c r="H403" t="s">
        <v>15</v>
      </c>
      <c r="I403" t="s">
        <v>97</v>
      </c>
      <c r="J403" t="s">
        <v>73</v>
      </c>
      <c r="K403">
        <v>0</v>
      </c>
      <c r="M403">
        <v>0.1</v>
      </c>
      <c r="N403" t="s">
        <v>1473</v>
      </c>
      <c r="P403">
        <v>66484</v>
      </c>
      <c r="Q403">
        <v>1.67</v>
      </c>
      <c r="R403">
        <v>0.72</v>
      </c>
      <c r="S403" t="b">
        <v>0</v>
      </c>
      <c r="T403">
        <v>2</v>
      </c>
      <c r="U403">
        <v>14</v>
      </c>
      <c r="V403" t="s">
        <v>1381</v>
      </c>
    </row>
    <row r="404" spans="1:22" x14ac:dyDescent="0.25">
      <c r="A404" t="s">
        <v>1472</v>
      </c>
      <c r="B404">
        <v>2016</v>
      </c>
      <c r="C404" t="s">
        <v>58</v>
      </c>
      <c r="D404" t="s">
        <v>57</v>
      </c>
      <c r="E404" t="s">
        <v>27</v>
      </c>
      <c r="F404" t="s">
        <v>115</v>
      </c>
      <c r="G404" t="s">
        <v>5</v>
      </c>
      <c r="H404" t="s">
        <v>15</v>
      </c>
      <c r="I404" t="s">
        <v>74</v>
      </c>
      <c r="J404" t="s">
        <v>2</v>
      </c>
      <c r="K404">
        <v>0</v>
      </c>
      <c r="M404">
        <v>0.06</v>
      </c>
      <c r="N404" t="s">
        <v>1471</v>
      </c>
      <c r="P404">
        <v>83733</v>
      </c>
      <c r="Q404">
        <v>4.7</v>
      </c>
      <c r="R404">
        <v>0.73</v>
      </c>
      <c r="S404" t="b">
        <v>0</v>
      </c>
      <c r="T404">
        <v>2</v>
      </c>
      <c r="U404">
        <v>2</v>
      </c>
      <c r="V404" t="s">
        <v>1381</v>
      </c>
    </row>
    <row r="405" spans="1:22" x14ac:dyDescent="0.25">
      <c r="A405" t="s">
        <v>1470</v>
      </c>
      <c r="B405">
        <v>2016</v>
      </c>
      <c r="C405" t="s">
        <v>117</v>
      </c>
      <c r="D405" t="s">
        <v>91</v>
      </c>
      <c r="E405" t="s">
        <v>27</v>
      </c>
      <c r="F405" t="s">
        <v>55</v>
      </c>
      <c r="G405" t="s">
        <v>16</v>
      </c>
      <c r="H405" t="s">
        <v>4</v>
      </c>
      <c r="I405" t="s">
        <v>33</v>
      </c>
      <c r="J405" t="s">
        <v>13</v>
      </c>
      <c r="K405">
        <v>0</v>
      </c>
      <c r="M405">
        <v>0.15</v>
      </c>
      <c r="N405" t="s">
        <v>1469</v>
      </c>
      <c r="P405">
        <v>52127</v>
      </c>
      <c r="Q405">
        <v>-4.8099999999999996</v>
      </c>
      <c r="R405">
        <v>0.75</v>
      </c>
      <c r="S405" t="b">
        <v>0</v>
      </c>
      <c r="T405">
        <v>1</v>
      </c>
      <c r="U405">
        <v>2</v>
      </c>
      <c r="V405" t="s">
        <v>1381</v>
      </c>
    </row>
    <row r="406" spans="1:22" x14ac:dyDescent="0.25">
      <c r="A406" t="s">
        <v>1468</v>
      </c>
      <c r="B406">
        <v>2016</v>
      </c>
      <c r="C406" t="s">
        <v>58</v>
      </c>
      <c r="D406" t="s">
        <v>57</v>
      </c>
      <c r="E406" t="s">
        <v>116</v>
      </c>
      <c r="F406" t="s">
        <v>136</v>
      </c>
      <c r="G406" t="s">
        <v>135</v>
      </c>
      <c r="H406" t="s">
        <v>85</v>
      </c>
      <c r="I406" t="s">
        <v>90</v>
      </c>
      <c r="J406" t="s">
        <v>2</v>
      </c>
      <c r="K406">
        <v>0</v>
      </c>
      <c r="M406">
        <v>0.11</v>
      </c>
      <c r="N406" t="s">
        <v>1467</v>
      </c>
      <c r="P406">
        <v>87597</v>
      </c>
      <c r="Q406">
        <v>-4.01</v>
      </c>
      <c r="R406">
        <v>0.66</v>
      </c>
      <c r="S406" t="b">
        <v>0</v>
      </c>
      <c r="T406">
        <v>3</v>
      </c>
      <c r="U406">
        <v>7</v>
      </c>
      <c r="V406" t="s">
        <v>1381</v>
      </c>
    </row>
    <row r="407" spans="1:22" x14ac:dyDescent="0.25">
      <c r="A407" t="s">
        <v>1466</v>
      </c>
      <c r="B407">
        <v>2016</v>
      </c>
      <c r="C407" t="s">
        <v>171</v>
      </c>
      <c r="D407" t="s">
        <v>57</v>
      </c>
      <c r="E407" t="s">
        <v>42</v>
      </c>
      <c r="F407" t="s">
        <v>35</v>
      </c>
      <c r="G407" t="s">
        <v>25</v>
      </c>
      <c r="H407" t="s">
        <v>49</v>
      </c>
      <c r="I407" t="s">
        <v>3</v>
      </c>
      <c r="J407" t="s">
        <v>96</v>
      </c>
      <c r="K407">
        <v>0</v>
      </c>
      <c r="M407">
        <v>0.1</v>
      </c>
      <c r="N407" t="s">
        <v>1465</v>
      </c>
      <c r="P407">
        <v>82614</v>
      </c>
      <c r="Q407">
        <v>-3.4</v>
      </c>
      <c r="R407">
        <v>0.61</v>
      </c>
      <c r="S407" t="b">
        <v>0</v>
      </c>
      <c r="T407">
        <v>3</v>
      </c>
      <c r="U407">
        <v>16</v>
      </c>
      <c r="V407" t="s">
        <v>1381</v>
      </c>
    </row>
    <row r="408" spans="1:22" x14ac:dyDescent="0.25">
      <c r="A408" t="s">
        <v>1464</v>
      </c>
      <c r="B408">
        <v>2016</v>
      </c>
      <c r="C408" t="s">
        <v>382</v>
      </c>
      <c r="D408" t="s">
        <v>125</v>
      </c>
      <c r="E408" t="s">
        <v>50</v>
      </c>
      <c r="F408" t="s">
        <v>75</v>
      </c>
      <c r="G408" t="s">
        <v>62</v>
      </c>
      <c r="H408" t="s">
        <v>179</v>
      </c>
      <c r="I408" t="s">
        <v>3</v>
      </c>
      <c r="J408" t="s">
        <v>73</v>
      </c>
      <c r="K408">
        <v>0</v>
      </c>
      <c r="M408">
        <v>0.16</v>
      </c>
      <c r="N408" t="s">
        <v>1463</v>
      </c>
      <c r="P408">
        <v>22409</v>
      </c>
      <c r="Q408">
        <v>-2.2599999999999998</v>
      </c>
      <c r="R408">
        <v>0.81</v>
      </c>
      <c r="S408" t="b">
        <v>0</v>
      </c>
      <c r="T408">
        <v>3</v>
      </c>
      <c r="U408">
        <v>4</v>
      </c>
      <c r="V408" t="s">
        <v>1381</v>
      </c>
    </row>
    <row r="409" spans="1:22" x14ac:dyDescent="0.25">
      <c r="A409" t="s">
        <v>1462</v>
      </c>
      <c r="B409">
        <v>2016</v>
      </c>
      <c r="C409" t="s">
        <v>70</v>
      </c>
      <c r="D409" t="s">
        <v>18</v>
      </c>
      <c r="E409" t="s">
        <v>56</v>
      </c>
      <c r="F409" t="s">
        <v>55</v>
      </c>
      <c r="G409" t="s">
        <v>16</v>
      </c>
      <c r="H409" t="s">
        <v>61</v>
      </c>
      <c r="I409" t="s">
        <v>33</v>
      </c>
      <c r="J409" t="s">
        <v>96</v>
      </c>
      <c r="K409">
        <v>0</v>
      </c>
      <c r="M409">
        <v>0.04</v>
      </c>
      <c r="N409" t="s">
        <v>1461</v>
      </c>
      <c r="P409">
        <v>57280</v>
      </c>
      <c r="Q409">
        <v>0.7</v>
      </c>
      <c r="R409">
        <v>0.74</v>
      </c>
      <c r="S409" t="b">
        <v>0</v>
      </c>
      <c r="T409">
        <v>1</v>
      </c>
      <c r="U409">
        <v>2</v>
      </c>
      <c r="V409" t="s">
        <v>1381</v>
      </c>
    </row>
    <row r="410" spans="1:22" x14ac:dyDescent="0.25">
      <c r="A410" t="s">
        <v>1460</v>
      </c>
      <c r="B410">
        <v>2016</v>
      </c>
      <c r="C410" t="s">
        <v>19</v>
      </c>
      <c r="D410" t="s">
        <v>18</v>
      </c>
      <c r="E410" t="s">
        <v>121</v>
      </c>
      <c r="F410" t="s">
        <v>112</v>
      </c>
      <c r="G410" t="s">
        <v>62</v>
      </c>
      <c r="H410" t="s">
        <v>34</v>
      </c>
      <c r="I410" t="s">
        <v>74</v>
      </c>
      <c r="J410" t="s">
        <v>13</v>
      </c>
      <c r="K410">
        <v>0</v>
      </c>
      <c r="M410">
        <v>0.01</v>
      </c>
      <c r="N410" t="s">
        <v>1459</v>
      </c>
      <c r="P410">
        <v>56283</v>
      </c>
      <c r="Q410">
        <v>0.19</v>
      </c>
      <c r="R410">
        <v>0.65</v>
      </c>
      <c r="S410" t="b">
        <v>0</v>
      </c>
      <c r="T410">
        <v>1</v>
      </c>
      <c r="U410">
        <v>12</v>
      </c>
      <c r="V410" t="s">
        <v>1381</v>
      </c>
    </row>
    <row r="411" spans="1:22" x14ac:dyDescent="0.25">
      <c r="A411" t="s">
        <v>1458</v>
      </c>
      <c r="B411">
        <v>2016</v>
      </c>
      <c r="C411" t="s">
        <v>126</v>
      </c>
      <c r="D411" t="s">
        <v>125</v>
      </c>
      <c r="E411" t="s">
        <v>130</v>
      </c>
      <c r="F411" t="s">
        <v>136</v>
      </c>
      <c r="G411" t="s">
        <v>5</v>
      </c>
      <c r="H411" t="s">
        <v>85</v>
      </c>
      <c r="I411" t="s">
        <v>68</v>
      </c>
      <c r="J411" t="s">
        <v>13</v>
      </c>
      <c r="K411">
        <v>0</v>
      </c>
      <c r="M411">
        <v>0.13</v>
      </c>
      <c r="N411" t="s">
        <v>1457</v>
      </c>
      <c r="P411">
        <v>19065</v>
      </c>
      <c r="Q411">
        <v>0.75</v>
      </c>
      <c r="R411">
        <v>0.69</v>
      </c>
      <c r="S411" t="b">
        <v>0</v>
      </c>
      <c r="T411">
        <v>1</v>
      </c>
      <c r="U411">
        <v>16</v>
      </c>
      <c r="V411" t="s">
        <v>1381</v>
      </c>
    </row>
    <row r="412" spans="1:22" x14ac:dyDescent="0.25">
      <c r="A412" t="s">
        <v>1456</v>
      </c>
      <c r="B412">
        <v>2016</v>
      </c>
      <c r="C412" t="s">
        <v>167</v>
      </c>
      <c r="D412" t="s">
        <v>43</v>
      </c>
      <c r="E412" t="s">
        <v>182</v>
      </c>
      <c r="F412" t="s">
        <v>63</v>
      </c>
      <c r="G412" t="s">
        <v>135</v>
      </c>
      <c r="H412" t="s">
        <v>15</v>
      </c>
      <c r="I412" t="s">
        <v>3</v>
      </c>
      <c r="J412" t="s">
        <v>79</v>
      </c>
      <c r="K412">
        <v>0</v>
      </c>
      <c r="M412">
        <v>0.02</v>
      </c>
      <c r="N412" t="s">
        <v>1455</v>
      </c>
      <c r="P412">
        <v>72225</v>
      </c>
      <c r="Q412">
        <v>-2.87</v>
      </c>
      <c r="R412">
        <v>0.66</v>
      </c>
      <c r="S412" t="b">
        <v>0</v>
      </c>
      <c r="T412">
        <v>2</v>
      </c>
      <c r="U412">
        <v>3</v>
      </c>
      <c r="V412" t="s">
        <v>1381</v>
      </c>
    </row>
    <row r="413" spans="1:22" x14ac:dyDescent="0.25">
      <c r="A413" t="s">
        <v>1454</v>
      </c>
      <c r="B413">
        <v>2016</v>
      </c>
      <c r="C413" t="s">
        <v>281</v>
      </c>
      <c r="D413" t="s">
        <v>91</v>
      </c>
      <c r="E413" t="s">
        <v>147</v>
      </c>
      <c r="F413" t="s">
        <v>41</v>
      </c>
      <c r="G413" t="s">
        <v>25</v>
      </c>
      <c r="H413" t="s">
        <v>4</v>
      </c>
      <c r="I413" t="s">
        <v>74</v>
      </c>
      <c r="J413" t="s">
        <v>79</v>
      </c>
      <c r="K413">
        <v>0</v>
      </c>
      <c r="M413">
        <v>0.16</v>
      </c>
      <c r="N413" t="s">
        <v>1453</v>
      </c>
      <c r="P413">
        <v>62834</v>
      </c>
      <c r="Q413">
        <v>-4.68</v>
      </c>
      <c r="R413">
        <v>0.75</v>
      </c>
      <c r="S413" t="b">
        <v>0</v>
      </c>
      <c r="T413">
        <v>1</v>
      </c>
      <c r="U413">
        <v>6</v>
      </c>
      <c r="V413" t="s">
        <v>1381</v>
      </c>
    </row>
    <row r="414" spans="1:22" x14ac:dyDescent="0.25">
      <c r="A414" t="s">
        <v>1452</v>
      </c>
      <c r="B414">
        <v>2016</v>
      </c>
      <c r="C414" t="s">
        <v>176</v>
      </c>
      <c r="D414" t="s">
        <v>64</v>
      </c>
      <c r="E414" t="s">
        <v>86</v>
      </c>
      <c r="F414" t="s">
        <v>108</v>
      </c>
      <c r="G414" t="s">
        <v>16</v>
      </c>
      <c r="H414" t="s">
        <v>4</v>
      </c>
      <c r="I414" t="s">
        <v>24</v>
      </c>
      <c r="J414" t="s">
        <v>2</v>
      </c>
      <c r="K414">
        <v>0</v>
      </c>
      <c r="M414">
        <v>0.17</v>
      </c>
      <c r="N414" t="s">
        <v>1451</v>
      </c>
      <c r="P414">
        <v>71077</v>
      </c>
      <c r="Q414">
        <v>4.8</v>
      </c>
      <c r="R414">
        <v>0.75</v>
      </c>
      <c r="S414" t="b">
        <v>0</v>
      </c>
      <c r="T414">
        <v>2</v>
      </c>
      <c r="U414">
        <v>4</v>
      </c>
      <c r="V414" t="s">
        <v>1381</v>
      </c>
    </row>
    <row r="415" spans="1:22" x14ac:dyDescent="0.25">
      <c r="A415" t="s">
        <v>1450</v>
      </c>
      <c r="B415">
        <v>2016</v>
      </c>
      <c r="C415" t="s">
        <v>29</v>
      </c>
      <c r="D415" t="s">
        <v>28</v>
      </c>
      <c r="E415" t="s">
        <v>42</v>
      </c>
      <c r="F415" t="s">
        <v>63</v>
      </c>
      <c r="G415" t="s">
        <v>5</v>
      </c>
      <c r="H415" t="s">
        <v>34</v>
      </c>
      <c r="I415" t="s">
        <v>24</v>
      </c>
      <c r="J415" t="s">
        <v>2</v>
      </c>
      <c r="K415">
        <v>0</v>
      </c>
      <c r="M415">
        <v>0.01</v>
      </c>
      <c r="N415" t="s">
        <v>1449</v>
      </c>
      <c r="P415">
        <v>41877</v>
      </c>
      <c r="Q415">
        <v>-1.57</v>
      </c>
      <c r="R415">
        <v>0.82</v>
      </c>
      <c r="S415" t="b">
        <v>0</v>
      </c>
      <c r="T415">
        <v>3</v>
      </c>
      <c r="U415">
        <v>11</v>
      </c>
      <c r="V415" t="s">
        <v>1381</v>
      </c>
    </row>
    <row r="416" spans="1:22" x14ac:dyDescent="0.25">
      <c r="A416" t="s">
        <v>1448</v>
      </c>
      <c r="B416">
        <v>2016</v>
      </c>
      <c r="C416" t="s">
        <v>104</v>
      </c>
      <c r="D416" t="s">
        <v>8</v>
      </c>
      <c r="E416" t="s">
        <v>219</v>
      </c>
      <c r="F416" t="s">
        <v>108</v>
      </c>
      <c r="G416" t="s">
        <v>135</v>
      </c>
      <c r="H416" t="s">
        <v>61</v>
      </c>
      <c r="I416" t="s">
        <v>74</v>
      </c>
      <c r="J416" t="s">
        <v>2</v>
      </c>
      <c r="K416">
        <v>0</v>
      </c>
      <c r="M416">
        <v>0.15</v>
      </c>
      <c r="N416" t="s">
        <v>1447</v>
      </c>
      <c r="P416">
        <v>23132</v>
      </c>
      <c r="Q416">
        <v>-3.52</v>
      </c>
      <c r="R416">
        <v>0.74</v>
      </c>
      <c r="S416" t="b">
        <v>0</v>
      </c>
      <c r="T416">
        <v>2</v>
      </c>
      <c r="U416">
        <v>0</v>
      </c>
      <c r="V416" t="s">
        <v>1381</v>
      </c>
    </row>
    <row r="417" spans="1:22" x14ac:dyDescent="0.25">
      <c r="A417" t="s">
        <v>1446</v>
      </c>
      <c r="B417">
        <v>2016</v>
      </c>
      <c r="C417" t="s">
        <v>104</v>
      </c>
      <c r="D417" t="s">
        <v>8</v>
      </c>
      <c r="E417" t="s">
        <v>42</v>
      </c>
      <c r="F417" t="s">
        <v>80</v>
      </c>
      <c r="G417" t="s">
        <v>5</v>
      </c>
      <c r="H417" t="s">
        <v>179</v>
      </c>
      <c r="I417" t="s">
        <v>68</v>
      </c>
      <c r="J417" t="s">
        <v>13</v>
      </c>
      <c r="K417">
        <v>0</v>
      </c>
      <c r="M417">
        <v>0.05</v>
      </c>
      <c r="N417" t="s">
        <v>1445</v>
      </c>
      <c r="P417">
        <v>20711</v>
      </c>
      <c r="Q417">
        <v>-4.9000000000000004</v>
      </c>
      <c r="R417">
        <v>0.72</v>
      </c>
      <c r="S417" t="b">
        <v>0</v>
      </c>
      <c r="T417">
        <v>1</v>
      </c>
      <c r="U417">
        <v>9</v>
      </c>
      <c r="V417" t="s">
        <v>1381</v>
      </c>
    </row>
    <row r="418" spans="1:22" x14ac:dyDescent="0.25">
      <c r="A418" t="s">
        <v>1444</v>
      </c>
      <c r="B418">
        <v>2016</v>
      </c>
      <c r="C418" t="s">
        <v>287</v>
      </c>
      <c r="D418" t="s">
        <v>43</v>
      </c>
      <c r="E418" t="s">
        <v>56</v>
      </c>
      <c r="F418" t="s">
        <v>41</v>
      </c>
      <c r="G418" t="s">
        <v>25</v>
      </c>
      <c r="H418" t="s">
        <v>61</v>
      </c>
      <c r="I418" t="s">
        <v>40</v>
      </c>
      <c r="J418" t="s">
        <v>2</v>
      </c>
      <c r="K418">
        <v>0</v>
      </c>
      <c r="M418">
        <v>0.18</v>
      </c>
      <c r="N418" t="s">
        <v>1443</v>
      </c>
      <c r="P418">
        <v>66857</v>
      </c>
      <c r="Q418">
        <v>-1.53</v>
      </c>
      <c r="R418">
        <v>0.65</v>
      </c>
      <c r="S418" t="b">
        <v>0</v>
      </c>
      <c r="T418">
        <v>3</v>
      </c>
      <c r="U418">
        <v>8</v>
      </c>
      <c r="V418" t="s">
        <v>1381</v>
      </c>
    </row>
    <row r="419" spans="1:22" x14ac:dyDescent="0.25">
      <c r="A419" t="s">
        <v>1442</v>
      </c>
      <c r="B419">
        <v>2016</v>
      </c>
      <c r="C419" t="s">
        <v>316</v>
      </c>
      <c r="D419" t="s">
        <v>43</v>
      </c>
      <c r="E419" t="s">
        <v>42</v>
      </c>
      <c r="F419" t="s">
        <v>115</v>
      </c>
      <c r="G419" t="s">
        <v>25</v>
      </c>
      <c r="H419" t="s">
        <v>141</v>
      </c>
      <c r="I419" t="s">
        <v>40</v>
      </c>
      <c r="J419" t="s">
        <v>13</v>
      </c>
      <c r="K419">
        <v>0</v>
      </c>
      <c r="M419">
        <v>0.01</v>
      </c>
      <c r="N419" t="s">
        <v>1441</v>
      </c>
      <c r="P419">
        <v>79349</v>
      </c>
      <c r="Q419">
        <v>4.5999999999999996</v>
      </c>
      <c r="R419">
        <v>0.76</v>
      </c>
      <c r="S419" t="b">
        <v>0</v>
      </c>
      <c r="T419">
        <v>3</v>
      </c>
      <c r="U419">
        <v>4</v>
      </c>
      <c r="V419" t="s">
        <v>1381</v>
      </c>
    </row>
    <row r="420" spans="1:22" x14ac:dyDescent="0.25">
      <c r="A420" t="s">
        <v>1440</v>
      </c>
      <c r="B420">
        <v>2016</v>
      </c>
      <c r="C420" t="s">
        <v>117</v>
      </c>
      <c r="D420" t="s">
        <v>91</v>
      </c>
      <c r="E420" t="s">
        <v>130</v>
      </c>
      <c r="F420" t="s">
        <v>115</v>
      </c>
      <c r="G420" t="s">
        <v>25</v>
      </c>
      <c r="H420" t="s">
        <v>49</v>
      </c>
      <c r="I420" t="s">
        <v>97</v>
      </c>
      <c r="J420" t="s">
        <v>96</v>
      </c>
      <c r="K420">
        <v>0</v>
      </c>
      <c r="M420">
        <v>0.15</v>
      </c>
      <c r="N420" t="s">
        <v>1439</v>
      </c>
      <c r="P420">
        <v>50206</v>
      </c>
      <c r="Q420">
        <v>-4.33</v>
      </c>
      <c r="R420">
        <v>0.77</v>
      </c>
      <c r="S420" t="b">
        <v>0</v>
      </c>
      <c r="T420">
        <v>2</v>
      </c>
      <c r="U420">
        <v>16</v>
      </c>
      <c r="V420" t="s">
        <v>1381</v>
      </c>
    </row>
    <row r="421" spans="1:22" x14ac:dyDescent="0.25">
      <c r="A421" t="s">
        <v>1438</v>
      </c>
      <c r="B421">
        <v>2016</v>
      </c>
      <c r="C421" t="s">
        <v>152</v>
      </c>
      <c r="D421" t="s">
        <v>28</v>
      </c>
      <c r="E421" t="s">
        <v>27</v>
      </c>
      <c r="F421" t="s">
        <v>124</v>
      </c>
      <c r="G421" t="s">
        <v>16</v>
      </c>
      <c r="H421" t="s">
        <v>15</v>
      </c>
      <c r="I421" t="s">
        <v>14</v>
      </c>
      <c r="J421" t="s">
        <v>73</v>
      </c>
      <c r="K421">
        <v>1</v>
      </c>
      <c r="L421" t="s">
        <v>1436</v>
      </c>
      <c r="M421">
        <v>0.81</v>
      </c>
      <c r="N421" t="s">
        <v>1437</v>
      </c>
      <c r="O421" t="s">
        <v>1436</v>
      </c>
      <c r="P421">
        <v>58636</v>
      </c>
      <c r="Q421">
        <v>-1.01</v>
      </c>
      <c r="R421">
        <v>0.19</v>
      </c>
      <c r="S421" t="b">
        <v>1</v>
      </c>
      <c r="T421">
        <v>3</v>
      </c>
      <c r="U421">
        <v>6</v>
      </c>
      <c r="V421" t="s">
        <v>1381</v>
      </c>
    </row>
    <row r="422" spans="1:22" x14ac:dyDescent="0.25">
      <c r="A422" t="s">
        <v>1435</v>
      </c>
      <c r="B422">
        <v>2016</v>
      </c>
      <c r="C422" t="s">
        <v>287</v>
      </c>
      <c r="D422" t="s">
        <v>43</v>
      </c>
      <c r="E422" t="s">
        <v>56</v>
      </c>
      <c r="F422" t="s">
        <v>69</v>
      </c>
      <c r="G422" t="s">
        <v>62</v>
      </c>
      <c r="H422" t="s">
        <v>15</v>
      </c>
      <c r="I422" t="s">
        <v>24</v>
      </c>
      <c r="J422" t="s">
        <v>96</v>
      </c>
      <c r="K422">
        <v>0</v>
      </c>
      <c r="M422">
        <v>0</v>
      </c>
      <c r="N422" t="s">
        <v>1434</v>
      </c>
      <c r="P422">
        <v>66772</v>
      </c>
      <c r="Q422">
        <v>-4.0599999999999996</v>
      </c>
      <c r="R422">
        <v>0.71</v>
      </c>
      <c r="S422" t="b">
        <v>0</v>
      </c>
      <c r="T422">
        <v>2</v>
      </c>
      <c r="U422">
        <v>8</v>
      </c>
      <c r="V422" t="s">
        <v>1381</v>
      </c>
    </row>
    <row r="423" spans="1:22" x14ac:dyDescent="0.25">
      <c r="A423" t="s">
        <v>1433</v>
      </c>
      <c r="B423">
        <v>2016</v>
      </c>
      <c r="C423" t="s">
        <v>407</v>
      </c>
      <c r="D423" t="s">
        <v>131</v>
      </c>
      <c r="E423" t="s">
        <v>182</v>
      </c>
      <c r="F423" t="s">
        <v>136</v>
      </c>
      <c r="G423" t="s">
        <v>135</v>
      </c>
      <c r="H423" t="s">
        <v>4</v>
      </c>
      <c r="I423" t="s">
        <v>90</v>
      </c>
      <c r="J423" t="s">
        <v>13</v>
      </c>
      <c r="K423">
        <v>0</v>
      </c>
      <c r="M423">
        <v>0.16</v>
      </c>
      <c r="N423" t="s">
        <v>1432</v>
      </c>
      <c r="P423">
        <v>31604</v>
      </c>
      <c r="Q423">
        <v>1.59</v>
      </c>
      <c r="R423">
        <v>0.82</v>
      </c>
      <c r="S423" t="b">
        <v>0</v>
      </c>
      <c r="T423">
        <v>3</v>
      </c>
      <c r="U423">
        <v>9</v>
      </c>
      <c r="V423" t="s">
        <v>1381</v>
      </c>
    </row>
    <row r="424" spans="1:22" x14ac:dyDescent="0.25">
      <c r="A424" t="s">
        <v>1431</v>
      </c>
      <c r="B424">
        <v>2016</v>
      </c>
      <c r="C424" t="s">
        <v>316</v>
      </c>
      <c r="D424" t="s">
        <v>43</v>
      </c>
      <c r="E424" t="s">
        <v>17</v>
      </c>
      <c r="F424" t="s">
        <v>103</v>
      </c>
      <c r="G424" t="s">
        <v>62</v>
      </c>
      <c r="H424" t="s">
        <v>179</v>
      </c>
      <c r="I424" t="s">
        <v>107</v>
      </c>
      <c r="J424" t="s">
        <v>73</v>
      </c>
      <c r="K424">
        <v>0</v>
      </c>
      <c r="M424">
        <v>0.19</v>
      </c>
      <c r="N424" t="s">
        <v>1430</v>
      </c>
      <c r="P424">
        <v>61944</v>
      </c>
      <c r="Q424">
        <v>1.03</v>
      </c>
      <c r="R424">
        <v>0.84</v>
      </c>
      <c r="S424" t="b">
        <v>0</v>
      </c>
      <c r="T424">
        <v>2</v>
      </c>
      <c r="U424">
        <v>5</v>
      </c>
      <c r="V424" t="s">
        <v>1381</v>
      </c>
    </row>
    <row r="425" spans="1:22" x14ac:dyDescent="0.25">
      <c r="A425" t="s">
        <v>1429</v>
      </c>
      <c r="B425">
        <v>2016</v>
      </c>
      <c r="C425" t="s">
        <v>157</v>
      </c>
      <c r="D425" t="s">
        <v>18</v>
      </c>
      <c r="E425" t="s">
        <v>56</v>
      </c>
      <c r="F425" t="s">
        <v>124</v>
      </c>
      <c r="G425" t="s">
        <v>135</v>
      </c>
      <c r="H425" t="s">
        <v>179</v>
      </c>
      <c r="I425" t="s">
        <v>68</v>
      </c>
      <c r="J425" t="s">
        <v>2</v>
      </c>
      <c r="K425">
        <v>0</v>
      </c>
      <c r="M425">
        <v>0.18</v>
      </c>
      <c r="N425" t="s">
        <v>1428</v>
      </c>
      <c r="P425">
        <v>67506</v>
      </c>
      <c r="Q425">
        <v>4.0199999999999996</v>
      </c>
      <c r="R425">
        <v>0.74</v>
      </c>
      <c r="S425" t="b">
        <v>0</v>
      </c>
      <c r="T425">
        <v>2</v>
      </c>
      <c r="U425">
        <v>18</v>
      </c>
      <c r="V425" t="s">
        <v>1381</v>
      </c>
    </row>
    <row r="426" spans="1:22" x14ac:dyDescent="0.25">
      <c r="A426" t="s">
        <v>1427</v>
      </c>
      <c r="B426">
        <v>2016</v>
      </c>
      <c r="C426" t="s">
        <v>92</v>
      </c>
      <c r="D426" t="s">
        <v>91</v>
      </c>
      <c r="E426" t="s">
        <v>130</v>
      </c>
      <c r="F426" t="s">
        <v>41</v>
      </c>
      <c r="G426" t="s">
        <v>16</v>
      </c>
      <c r="H426" t="s">
        <v>4</v>
      </c>
      <c r="I426" t="s">
        <v>90</v>
      </c>
      <c r="J426" t="s">
        <v>23</v>
      </c>
      <c r="K426">
        <v>1</v>
      </c>
      <c r="L426" t="s">
        <v>1425</v>
      </c>
      <c r="M426">
        <v>0.62</v>
      </c>
      <c r="N426" t="s">
        <v>1426</v>
      </c>
      <c r="O426" t="s">
        <v>1425</v>
      </c>
      <c r="P426">
        <v>87501</v>
      </c>
      <c r="Q426">
        <v>-2</v>
      </c>
      <c r="R426">
        <v>0.22</v>
      </c>
      <c r="S426" t="b">
        <v>1</v>
      </c>
      <c r="T426">
        <v>2</v>
      </c>
      <c r="U426">
        <v>0</v>
      </c>
      <c r="V426" t="s">
        <v>1381</v>
      </c>
    </row>
    <row r="427" spans="1:22" x14ac:dyDescent="0.25">
      <c r="A427" t="s">
        <v>1424</v>
      </c>
      <c r="B427">
        <v>2016</v>
      </c>
      <c r="C427" t="s">
        <v>220</v>
      </c>
      <c r="D427" t="s">
        <v>91</v>
      </c>
      <c r="E427" t="s">
        <v>50</v>
      </c>
      <c r="F427" t="s">
        <v>115</v>
      </c>
      <c r="G427" t="s">
        <v>5</v>
      </c>
      <c r="H427" t="s">
        <v>34</v>
      </c>
      <c r="I427" t="s">
        <v>3</v>
      </c>
      <c r="J427" t="s">
        <v>73</v>
      </c>
      <c r="K427">
        <v>1</v>
      </c>
      <c r="L427" t="s">
        <v>285</v>
      </c>
      <c r="M427">
        <v>0.43</v>
      </c>
      <c r="N427" t="s">
        <v>1423</v>
      </c>
      <c r="O427" t="s">
        <v>285</v>
      </c>
      <c r="P427">
        <v>91896</v>
      </c>
      <c r="Q427">
        <v>-3.52</v>
      </c>
      <c r="R427">
        <v>0.4</v>
      </c>
      <c r="S427" t="b">
        <v>1</v>
      </c>
      <c r="T427">
        <v>1</v>
      </c>
      <c r="U427">
        <v>17</v>
      </c>
      <c r="V427" t="s">
        <v>1381</v>
      </c>
    </row>
    <row r="428" spans="1:22" x14ac:dyDescent="0.25">
      <c r="A428" t="s">
        <v>1422</v>
      </c>
      <c r="B428">
        <v>2016</v>
      </c>
      <c r="C428" t="s">
        <v>157</v>
      </c>
      <c r="D428" t="s">
        <v>18</v>
      </c>
      <c r="E428" t="s">
        <v>147</v>
      </c>
      <c r="F428" t="s">
        <v>35</v>
      </c>
      <c r="G428" t="s">
        <v>16</v>
      </c>
      <c r="H428" t="s">
        <v>85</v>
      </c>
      <c r="I428" t="s">
        <v>40</v>
      </c>
      <c r="J428" t="s">
        <v>2</v>
      </c>
      <c r="K428">
        <v>0</v>
      </c>
      <c r="M428">
        <v>0.13</v>
      </c>
      <c r="N428" t="s">
        <v>1421</v>
      </c>
      <c r="P428">
        <v>69129</v>
      </c>
      <c r="Q428">
        <v>3.3</v>
      </c>
      <c r="R428">
        <v>0.6</v>
      </c>
      <c r="S428" t="b">
        <v>0</v>
      </c>
      <c r="T428">
        <v>2</v>
      </c>
      <c r="U428">
        <v>16</v>
      </c>
      <c r="V428" t="s">
        <v>1381</v>
      </c>
    </row>
    <row r="429" spans="1:22" x14ac:dyDescent="0.25">
      <c r="A429" t="s">
        <v>1420</v>
      </c>
      <c r="B429">
        <v>2016</v>
      </c>
      <c r="C429" t="s">
        <v>215</v>
      </c>
      <c r="D429" t="s">
        <v>91</v>
      </c>
      <c r="E429" t="s">
        <v>219</v>
      </c>
      <c r="F429" t="s">
        <v>41</v>
      </c>
      <c r="G429" t="s">
        <v>135</v>
      </c>
      <c r="H429" t="s">
        <v>4</v>
      </c>
      <c r="I429" t="s">
        <v>24</v>
      </c>
      <c r="J429" t="s">
        <v>73</v>
      </c>
      <c r="K429">
        <v>0</v>
      </c>
      <c r="M429">
        <v>0.04</v>
      </c>
      <c r="N429" t="s">
        <v>1419</v>
      </c>
      <c r="P429">
        <v>61935</v>
      </c>
      <c r="Q429">
        <v>4.47</v>
      </c>
      <c r="R429">
        <v>0.67</v>
      </c>
      <c r="S429" t="b">
        <v>0</v>
      </c>
      <c r="T429">
        <v>1</v>
      </c>
      <c r="U429">
        <v>1</v>
      </c>
      <c r="V429" t="s">
        <v>1381</v>
      </c>
    </row>
    <row r="430" spans="1:22" x14ac:dyDescent="0.25">
      <c r="A430" t="s">
        <v>1418</v>
      </c>
      <c r="B430">
        <v>2016</v>
      </c>
      <c r="C430" t="s">
        <v>311</v>
      </c>
      <c r="D430" t="s">
        <v>125</v>
      </c>
      <c r="E430" t="s">
        <v>36</v>
      </c>
      <c r="F430" t="s">
        <v>103</v>
      </c>
      <c r="G430" t="s">
        <v>62</v>
      </c>
      <c r="H430" t="s">
        <v>34</v>
      </c>
      <c r="I430" t="s">
        <v>33</v>
      </c>
      <c r="J430" t="s">
        <v>73</v>
      </c>
      <c r="K430">
        <v>0</v>
      </c>
      <c r="M430">
        <v>0.05</v>
      </c>
      <c r="N430" t="s">
        <v>1417</v>
      </c>
      <c r="P430">
        <v>23904</v>
      </c>
      <c r="Q430">
        <v>-0.91</v>
      </c>
      <c r="R430">
        <v>0.9</v>
      </c>
      <c r="S430" t="b">
        <v>0</v>
      </c>
      <c r="T430">
        <v>2</v>
      </c>
      <c r="U430">
        <v>19</v>
      </c>
      <c r="V430" t="s">
        <v>1381</v>
      </c>
    </row>
    <row r="431" spans="1:22" x14ac:dyDescent="0.25">
      <c r="A431" t="s">
        <v>1416</v>
      </c>
      <c r="B431">
        <v>2016</v>
      </c>
      <c r="C431" t="s">
        <v>152</v>
      </c>
      <c r="D431" t="s">
        <v>28</v>
      </c>
      <c r="E431" t="s">
        <v>182</v>
      </c>
      <c r="F431" t="s">
        <v>41</v>
      </c>
      <c r="G431" t="s">
        <v>135</v>
      </c>
      <c r="H431" t="s">
        <v>49</v>
      </c>
      <c r="I431" t="s">
        <v>74</v>
      </c>
      <c r="J431" t="s">
        <v>23</v>
      </c>
      <c r="K431">
        <v>0</v>
      </c>
      <c r="M431">
        <v>0.09</v>
      </c>
      <c r="N431" t="s">
        <v>1415</v>
      </c>
      <c r="P431">
        <v>43774</v>
      </c>
      <c r="Q431">
        <v>-3.34</v>
      </c>
      <c r="R431">
        <v>0.81</v>
      </c>
      <c r="S431" t="b">
        <v>0</v>
      </c>
      <c r="T431">
        <v>2</v>
      </c>
      <c r="U431">
        <v>8</v>
      </c>
      <c r="V431" t="s">
        <v>1381</v>
      </c>
    </row>
    <row r="432" spans="1:22" x14ac:dyDescent="0.25">
      <c r="A432" t="s">
        <v>1414</v>
      </c>
      <c r="B432">
        <v>2016</v>
      </c>
      <c r="C432" t="s">
        <v>104</v>
      </c>
      <c r="D432" t="s">
        <v>8</v>
      </c>
      <c r="E432" t="s">
        <v>147</v>
      </c>
      <c r="F432" t="s">
        <v>115</v>
      </c>
      <c r="G432" t="s">
        <v>135</v>
      </c>
      <c r="H432" t="s">
        <v>102</v>
      </c>
      <c r="I432" t="s">
        <v>68</v>
      </c>
      <c r="J432" t="s">
        <v>96</v>
      </c>
      <c r="K432">
        <v>0</v>
      </c>
      <c r="M432">
        <v>0.08</v>
      </c>
      <c r="N432" t="s">
        <v>612</v>
      </c>
      <c r="P432">
        <v>23850</v>
      </c>
      <c r="Q432">
        <v>4.2699999999999996</v>
      </c>
      <c r="R432">
        <v>0.86</v>
      </c>
      <c r="S432" t="b">
        <v>0</v>
      </c>
      <c r="T432">
        <v>3</v>
      </c>
      <c r="U432">
        <v>18</v>
      </c>
      <c r="V432" t="s">
        <v>1381</v>
      </c>
    </row>
    <row r="433" spans="1:22" x14ac:dyDescent="0.25">
      <c r="A433" t="s">
        <v>1413</v>
      </c>
      <c r="B433">
        <v>2016</v>
      </c>
      <c r="C433" t="s">
        <v>117</v>
      </c>
      <c r="D433" t="s">
        <v>91</v>
      </c>
      <c r="E433" t="s">
        <v>182</v>
      </c>
      <c r="F433" t="s">
        <v>26</v>
      </c>
      <c r="G433" t="s">
        <v>135</v>
      </c>
      <c r="H433" t="s">
        <v>34</v>
      </c>
      <c r="I433" t="s">
        <v>68</v>
      </c>
      <c r="J433" t="s">
        <v>2</v>
      </c>
      <c r="K433">
        <v>0</v>
      </c>
      <c r="M433">
        <v>0.16</v>
      </c>
      <c r="N433" t="s">
        <v>1412</v>
      </c>
      <c r="P433">
        <v>53589</v>
      </c>
      <c r="Q433">
        <v>0.26</v>
      </c>
      <c r="R433">
        <v>0.78</v>
      </c>
      <c r="S433" t="b">
        <v>0</v>
      </c>
      <c r="T433">
        <v>3</v>
      </c>
      <c r="U433">
        <v>14</v>
      </c>
      <c r="V433" t="s">
        <v>1381</v>
      </c>
    </row>
    <row r="434" spans="1:22" x14ac:dyDescent="0.25">
      <c r="A434" t="s">
        <v>1411</v>
      </c>
      <c r="B434">
        <v>2016</v>
      </c>
      <c r="C434" t="s">
        <v>171</v>
      </c>
      <c r="D434" t="s">
        <v>57</v>
      </c>
      <c r="E434" t="s">
        <v>27</v>
      </c>
      <c r="F434" t="s">
        <v>55</v>
      </c>
      <c r="G434" t="s">
        <v>62</v>
      </c>
      <c r="H434" t="s">
        <v>179</v>
      </c>
      <c r="I434" t="s">
        <v>68</v>
      </c>
      <c r="J434" t="s">
        <v>96</v>
      </c>
      <c r="K434">
        <v>0</v>
      </c>
      <c r="M434">
        <v>0.17</v>
      </c>
      <c r="N434" t="s">
        <v>1410</v>
      </c>
      <c r="P434">
        <v>86196</v>
      </c>
      <c r="Q434">
        <v>2.37</v>
      </c>
      <c r="R434">
        <v>0.76</v>
      </c>
      <c r="S434" t="b">
        <v>0</v>
      </c>
      <c r="T434">
        <v>2</v>
      </c>
      <c r="U434">
        <v>14</v>
      </c>
      <c r="V434" t="s">
        <v>1381</v>
      </c>
    </row>
    <row r="435" spans="1:22" x14ac:dyDescent="0.25">
      <c r="A435" t="s">
        <v>1409</v>
      </c>
      <c r="B435">
        <v>2016</v>
      </c>
      <c r="C435" t="s">
        <v>176</v>
      </c>
      <c r="D435" t="s">
        <v>64</v>
      </c>
      <c r="E435" t="s">
        <v>42</v>
      </c>
      <c r="F435" t="s">
        <v>75</v>
      </c>
      <c r="G435" t="s">
        <v>62</v>
      </c>
      <c r="H435" t="s">
        <v>102</v>
      </c>
      <c r="I435" t="s">
        <v>40</v>
      </c>
      <c r="J435" t="s">
        <v>13</v>
      </c>
      <c r="K435">
        <v>0</v>
      </c>
      <c r="M435">
        <v>0.05</v>
      </c>
      <c r="N435" t="s">
        <v>1408</v>
      </c>
      <c r="P435">
        <v>79820</v>
      </c>
      <c r="Q435">
        <v>-4.18</v>
      </c>
      <c r="R435">
        <v>0.77</v>
      </c>
      <c r="S435" t="b">
        <v>0</v>
      </c>
      <c r="T435">
        <v>3</v>
      </c>
      <c r="U435">
        <v>18</v>
      </c>
      <c r="V435" t="s">
        <v>1381</v>
      </c>
    </row>
    <row r="436" spans="1:22" x14ac:dyDescent="0.25">
      <c r="A436" t="s">
        <v>1407</v>
      </c>
      <c r="B436">
        <v>2016</v>
      </c>
      <c r="C436" t="s">
        <v>29</v>
      </c>
      <c r="D436" t="s">
        <v>28</v>
      </c>
      <c r="E436" t="s">
        <v>50</v>
      </c>
      <c r="F436" t="s">
        <v>156</v>
      </c>
      <c r="G436" t="s">
        <v>5</v>
      </c>
      <c r="H436" t="s">
        <v>102</v>
      </c>
      <c r="I436" t="s">
        <v>14</v>
      </c>
      <c r="J436" t="s">
        <v>13</v>
      </c>
      <c r="K436">
        <v>0</v>
      </c>
      <c r="M436">
        <v>0.02</v>
      </c>
      <c r="N436" t="s">
        <v>576</v>
      </c>
      <c r="P436">
        <v>40044</v>
      </c>
      <c r="Q436">
        <v>2.63</v>
      </c>
      <c r="R436">
        <v>0.63</v>
      </c>
      <c r="S436" t="b">
        <v>0</v>
      </c>
      <c r="T436">
        <v>1</v>
      </c>
      <c r="U436">
        <v>18</v>
      </c>
      <c r="V436" t="s">
        <v>1381</v>
      </c>
    </row>
    <row r="437" spans="1:22" x14ac:dyDescent="0.25">
      <c r="A437" t="s">
        <v>1406</v>
      </c>
      <c r="B437">
        <v>2016</v>
      </c>
      <c r="C437" t="s">
        <v>316</v>
      </c>
      <c r="D437" t="s">
        <v>43</v>
      </c>
      <c r="E437" t="s">
        <v>27</v>
      </c>
      <c r="F437" t="s">
        <v>136</v>
      </c>
      <c r="G437" t="s">
        <v>16</v>
      </c>
      <c r="H437" t="s">
        <v>102</v>
      </c>
      <c r="I437" t="s">
        <v>40</v>
      </c>
      <c r="J437" t="s">
        <v>13</v>
      </c>
      <c r="K437">
        <v>0</v>
      </c>
      <c r="M437">
        <v>0.04</v>
      </c>
      <c r="N437" t="s">
        <v>1405</v>
      </c>
      <c r="P437">
        <v>71473</v>
      </c>
      <c r="Q437">
        <v>0.28000000000000003</v>
      </c>
      <c r="R437">
        <v>0.71</v>
      </c>
      <c r="S437" t="b">
        <v>0</v>
      </c>
      <c r="T437">
        <v>1</v>
      </c>
      <c r="U437">
        <v>6</v>
      </c>
      <c r="V437" t="s">
        <v>1381</v>
      </c>
    </row>
    <row r="438" spans="1:22" x14ac:dyDescent="0.25">
      <c r="A438" t="s">
        <v>1404</v>
      </c>
      <c r="B438">
        <v>2016</v>
      </c>
      <c r="C438" t="s">
        <v>58</v>
      </c>
      <c r="D438" t="s">
        <v>57</v>
      </c>
      <c r="E438" t="s">
        <v>42</v>
      </c>
      <c r="F438" t="s">
        <v>41</v>
      </c>
      <c r="G438" t="s">
        <v>135</v>
      </c>
      <c r="H438" t="s">
        <v>49</v>
      </c>
      <c r="I438" t="s">
        <v>74</v>
      </c>
      <c r="J438" t="s">
        <v>96</v>
      </c>
      <c r="K438">
        <v>0</v>
      </c>
      <c r="M438">
        <v>0.18</v>
      </c>
      <c r="N438" t="s">
        <v>1403</v>
      </c>
      <c r="P438">
        <v>73440</v>
      </c>
      <c r="Q438">
        <v>4.3099999999999996</v>
      </c>
      <c r="R438">
        <v>0.87</v>
      </c>
      <c r="S438" t="b">
        <v>0</v>
      </c>
      <c r="T438">
        <v>1</v>
      </c>
      <c r="U438">
        <v>1</v>
      </c>
      <c r="V438" t="s">
        <v>1381</v>
      </c>
    </row>
    <row r="439" spans="1:22" x14ac:dyDescent="0.25">
      <c r="A439" t="s">
        <v>1402</v>
      </c>
      <c r="B439">
        <v>2016</v>
      </c>
      <c r="C439" t="s">
        <v>183</v>
      </c>
      <c r="D439" t="s">
        <v>131</v>
      </c>
      <c r="E439" t="s">
        <v>36</v>
      </c>
      <c r="F439" t="s">
        <v>55</v>
      </c>
      <c r="G439" t="s">
        <v>5</v>
      </c>
      <c r="H439" t="s">
        <v>4</v>
      </c>
      <c r="I439" t="s">
        <v>33</v>
      </c>
      <c r="J439" t="s">
        <v>13</v>
      </c>
      <c r="K439">
        <v>0</v>
      </c>
      <c r="M439">
        <v>0.01</v>
      </c>
      <c r="N439" t="s">
        <v>1401</v>
      </c>
      <c r="P439">
        <v>33848</v>
      </c>
      <c r="Q439">
        <v>2.4300000000000002</v>
      </c>
      <c r="R439">
        <v>0.8</v>
      </c>
      <c r="S439" t="b">
        <v>0</v>
      </c>
      <c r="T439">
        <v>2</v>
      </c>
      <c r="U439">
        <v>0</v>
      </c>
      <c r="V439" t="s">
        <v>1381</v>
      </c>
    </row>
    <row r="440" spans="1:22" x14ac:dyDescent="0.25">
      <c r="A440" t="s">
        <v>1400</v>
      </c>
      <c r="B440">
        <v>2016</v>
      </c>
      <c r="C440" t="s">
        <v>81</v>
      </c>
      <c r="D440" t="s">
        <v>28</v>
      </c>
      <c r="E440" t="s">
        <v>7</v>
      </c>
      <c r="F440" t="s">
        <v>75</v>
      </c>
      <c r="G440" t="s">
        <v>135</v>
      </c>
      <c r="H440" t="s">
        <v>85</v>
      </c>
      <c r="I440" t="s">
        <v>107</v>
      </c>
      <c r="J440" t="s">
        <v>2</v>
      </c>
      <c r="K440">
        <v>1</v>
      </c>
      <c r="L440" t="s">
        <v>1398</v>
      </c>
      <c r="M440">
        <v>0.69</v>
      </c>
      <c r="N440" t="s">
        <v>1399</v>
      </c>
      <c r="O440" t="s">
        <v>1398</v>
      </c>
      <c r="P440">
        <v>64901</v>
      </c>
      <c r="Q440">
        <v>0.73</v>
      </c>
      <c r="R440">
        <v>0.38</v>
      </c>
      <c r="S440" t="b">
        <v>1</v>
      </c>
      <c r="T440">
        <v>2</v>
      </c>
      <c r="U440">
        <v>12</v>
      </c>
      <c r="V440" t="s">
        <v>1381</v>
      </c>
    </row>
    <row r="441" spans="1:22" x14ac:dyDescent="0.25">
      <c r="A441" t="s">
        <v>1397</v>
      </c>
      <c r="B441">
        <v>2016</v>
      </c>
      <c r="C441" t="s">
        <v>104</v>
      </c>
      <c r="D441" t="s">
        <v>8</v>
      </c>
      <c r="E441" t="s">
        <v>36</v>
      </c>
      <c r="F441" t="s">
        <v>80</v>
      </c>
      <c r="G441" t="s">
        <v>5</v>
      </c>
      <c r="H441" t="s">
        <v>102</v>
      </c>
      <c r="I441" t="s">
        <v>14</v>
      </c>
      <c r="J441" t="s">
        <v>96</v>
      </c>
      <c r="K441">
        <v>0</v>
      </c>
      <c r="M441">
        <v>0.04</v>
      </c>
      <c r="N441" t="s">
        <v>1396</v>
      </c>
      <c r="P441">
        <v>25513</v>
      </c>
      <c r="Q441">
        <v>-2.74</v>
      </c>
      <c r="R441">
        <v>0.89</v>
      </c>
      <c r="S441" t="b">
        <v>0</v>
      </c>
      <c r="T441">
        <v>1</v>
      </c>
      <c r="U441">
        <v>4</v>
      </c>
      <c r="V441" t="s">
        <v>1381</v>
      </c>
    </row>
    <row r="442" spans="1:22" x14ac:dyDescent="0.25">
      <c r="A442" t="s">
        <v>1395</v>
      </c>
      <c r="B442">
        <v>2016</v>
      </c>
      <c r="C442" t="s">
        <v>152</v>
      </c>
      <c r="D442" t="s">
        <v>28</v>
      </c>
      <c r="E442" t="s">
        <v>121</v>
      </c>
      <c r="F442" t="s">
        <v>63</v>
      </c>
      <c r="G442" t="s">
        <v>135</v>
      </c>
      <c r="H442" t="s">
        <v>49</v>
      </c>
      <c r="I442" t="s">
        <v>33</v>
      </c>
      <c r="J442" t="s">
        <v>96</v>
      </c>
      <c r="K442">
        <v>0</v>
      </c>
      <c r="M442">
        <v>0.15</v>
      </c>
      <c r="N442" t="s">
        <v>1394</v>
      </c>
      <c r="P442">
        <v>35606</v>
      </c>
      <c r="Q442">
        <v>-2.27</v>
      </c>
      <c r="R442">
        <v>0.76</v>
      </c>
      <c r="S442" t="b">
        <v>0</v>
      </c>
      <c r="T442">
        <v>1</v>
      </c>
      <c r="U442">
        <v>2</v>
      </c>
      <c r="V442" t="s">
        <v>1381</v>
      </c>
    </row>
    <row r="443" spans="1:22" x14ac:dyDescent="0.25">
      <c r="A443" t="s">
        <v>1393</v>
      </c>
      <c r="B443">
        <v>2016</v>
      </c>
      <c r="C443" t="s">
        <v>171</v>
      </c>
      <c r="D443" t="s">
        <v>57</v>
      </c>
      <c r="E443" t="s">
        <v>116</v>
      </c>
      <c r="F443" t="s">
        <v>103</v>
      </c>
      <c r="G443" t="s">
        <v>5</v>
      </c>
      <c r="H443" t="s">
        <v>34</v>
      </c>
      <c r="I443" t="s">
        <v>97</v>
      </c>
      <c r="J443" t="s">
        <v>79</v>
      </c>
      <c r="K443">
        <v>0</v>
      </c>
      <c r="M443">
        <v>0.15</v>
      </c>
      <c r="N443" t="s">
        <v>1392</v>
      </c>
      <c r="P443">
        <v>76830</v>
      </c>
      <c r="Q443">
        <v>1.35</v>
      </c>
      <c r="R443">
        <v>0.86</v>
      </c>
      <c r="S443" t="b">
        <v>0</v>
      </c>
      <c r="T443">
        <v>1</v>
      </c>
      <c r="U443">
        <v>0</v>
      </c>
      <c r="V443" t="s">
        <v>1381</v>
      </c>
    </row>
    <row r="444" spans="1:22" x14ac:dyDescent="0.25">
      <c r="A444" t="s">
        <v>1391</v>
      </c>
      <c r="B444">
        <v>2016</v>
      </c>
      <c r="C444" t="s">
        <v>9</v>
      </c>
      <c r="D444" t="s">
        <v>8</v>
      </c>
      <c r="E444" t="s">
        <v>56</v>
      </c>
      <c r="F444" t="s">
        <v>156</v>
      </c>
      <c r="G444" t="s">
        <v>25</v>
      </c>
      <c r="H444" t="s">
        <v>85</v>
      </c>
      <c r="I444" t="s">
        <v>40</v>
      </c>
      <c r="J444" t="s">
        <v>96</v>
      </c>
      <c r="K444">
        <v>0</v>
      </c>
      <c r="M444">
        <v>0.11</v>
      </c>
      <c r="N444" t="s">
        <v>1390</v>
      </c>
      <c r="P444">
        <v>26803</v>
      </c>
      <c r="Q444">
        <v>-1.57</v>
      </c>
      <c r="R444">
        <v>0.67</v>
      </c>
      <c r="S444" t="b">
        <v>0</v>
      </c>
      <c r="T444">
        <v>2</v>
      </c>
      <c r="U444">
        <v>4</v>
      </c>
      <c r="V444" t="s">
        <v>1381</v>
      </c>
    </row>
    <row r="445" spans="1:22" x14ac:dyDescent="0.25">
      <c r="A445" t="s">
        <v>1389</v>
      </c>
      <c r="B445">
        <v>2016</v>
      </c>
      <c r="C445" t="s">
        <v>86</v>
      </c>
      <c r="D445" t="s">
        <v>131</v>
      </c>
      <c r="E445" t="s">
        <v>219</v>
      </c>
      <c r="F445" t="s">
        <v>26</v>
      </c>
      <c r="G445" t="s">
        <v>5</v>
      </c>
      <c r="H445" t="s">
        <v>102</v>
      </c>
      <c r="I445" t="s">
        <v>40</v>
      </c>
      <c r="J445" t="s">
        <v>2</v>
      </c>
      <c r="K445">
        <v>1</v>
      </c>
      <c r="L445" t="s">
        <v>150</v>
      </c>
      <c r="M445">
        <v>0.51</v>
      </c>
      <c r="N445" t="s">
        <v>1388</v>
      </c>
      <c r="O445" t="s">
        <v>150</v>
      </c>
      <c r="P445">
        <v>54213</v>
      </c>
      <c r="Q445">
        <v>0.66</v>
      </c>
      <c r="R445">
        <v>0.32</v>
      </c>
      <c r="S445" t="b">
        <v>1</v>
      </c>
      <c r="T445">
        <v>3</v>
      </c>
      <c r="U445">
        <v>8</v>
      </c>
      <c r="V445" t="s">
        <v>1381</v>
      </c>
    </row>
    <row r="446" spans="1:22" x14ac:dyDescent="0.25">
      <c r="A446" t="s">
        <v>1387</v>
      </c>
      <c r="B446">
        <v>2016</v>
      </c>
      <c r="C446" t="s">
        <v>9</v>
      </c>
      <c r="D446" t="s">
        <v>8</v>
      </c>
      <c r="E446" t="s">
        <v>27</v>
      </c>
      <c r="F446" t="s">
        <v>63</v>
      </c>
      <c r="G446" t="s">
        <v>5</v>
      </c>
      <c r="H446" t="s">
        <v>85</v>
      </c>
      <c r="I446" t="s">
        <v>107</v>
      </c>
      <c r="J446" t="s">
        <v>13</v>
      </c>
      <c r="K446">
        <v>0</v>
      </c>
      <c r="M446">
        <v>0.05</v>
      </c>
      <c r="N446" t="s">
        <v>1386</v>
      </c>
      <c r="P446">
        <v>22536</v>
      </c>
      <c r="Q446">
        <v>4.6100000000000003</v>
      </c>
      <c r="R446">
        <v>0.62</v>
      </c>
      <c r="S446" t="b">
        <v>0</v>
      </c>
      <c r="T446">
        <v>1</v>
      </c>
      <c r="U446">
        <v>16</v>
      </c>
      <c r="V446" t="s">
        <v>1381</v>
      </c>
    </row>
    <row r="447" spans="1:22" x14ac:dyDescent="0.25">
      <c r="A447" t="s">
        <v>1385</v>
      </c>
      <c r="B447">
        <v>2016</v>
      </c>
      <c r="C447" t="s">
        <v>378</v>
      </c>
      <c r="D447" t="s">
        <v>43</v>
      </c>
      <c r="E447" t="s">
        <v>17</v>
      </c>
      <c r="F447" t="s">
        <v>35</v>
      </c>
      <c r="G447" t="s">
        <v>16</v>
      </c>
      <c r="H447" t="s">
        <v>61</v>
      </c>
      <c r="I447" t="s">
        <v>107</v>
      </c>
      <c r="J447" t="s">
        <v>79</v>
      </c>
      <c r="K447">
        <v>0</v>
      </c>
      <c r="M447">
        <v>7.0000000000000007E-2</v>
      </c>
      <c r="N447" t="s">
        <v>1384</v>
      </c>
      <c r="P447">
        <v>78313</v>
      </c>
      <c r="Q447">
        <v>-0.71</v>
      </c>
      <c r="R447">
        <v>0.68</v>
      </c>
      <c r="S447" t="b">
        <v>0</v>
      </c>
      <c r="T447">
        <v>2</v>
      </c>
      <c r="U447">
        <v>8</v>
      </c>
      <c r="V447" t="s">
        <v>1381</v>
      </c>
    </row>
    <row r="448" spans="1:22" x14ac:dyDescent="0.25">
      <c r="A448" t="s">
        <v>1383</v>
      </c>
      <c r="B448">
        <v>2016</v>
      </c>
      <c r="C448" t="s">
        <v>148</v>
      </c>
      <c r="D448" t="s">
        <v>28</v>
      </c>
      <c r="E448" t="s">
        <v>182</v>
      </c>
      <c r="F448" t="s">
        <v>115</v>
      </c>
      <c r="G448" t="s">
        <v>62</v>
      </c>
      <c r="H448" t="s">
        <v>15</v>
      </c>
      <c r="I448" t="s">
        <v>40</v>
      </c>
      <c r="J448" t="s">
        <v>73</v>
      </c>
      <c r="K448">
        <v>0</v>
      </c>
      <c r="M448">
        <v>0.16</v>
      </c>
      <c r="N448" t="s">
        <v>1382</v>
      </c>
      <c r="P448">
        <v>42365</v>
      </c>
      <c r="Q448">
        <v>-3.19</v>
      </c>
      <c r="R448">
        <v>0.73</v>
      </c>
      <c r="S448" t="b">
        <v>0</v>
      </c>
      <c r="T448">
        <v>2</v>
      </c>
      <c r="U448">
        <v>15</v>
      </c>
      <c r="V448" t="s">
        <v>1381</v>
      </c>
    </row>
    <row r="449" spans="1:22" x14ac:dyDescent="0.25">
      <c r="A449" t="s">
        <v>1380</v>
      </c>
      <c r="B449">
        <v>2017</v>
      </c>
      <c r="C449" t="s">
        <v>161</v>
      </c>
      <c r="D449" t="s">
        <v>8</v>
      </c>
      <c r="E449" t="s">
        <v>56</v>
      </c>
      <c r="F449" t="s">
        <v>103</v>
      </c>
      <c r="G449" t="s">
        <v>16</v>
      </c>
      <c r="H449" t="s">
        <v>34</v>
      </c>
      <c r="I449" t="s">
        <v>14</v>
      </c>
      <c r="J449" t="s">
        <v>2</v>
      </c>
      <c r="K449">
        <v>1</v>
      </c>
      <c r="L449" t="s">
        <v>346</v>
      </c>
      <c r="M449">
        <v>0.44</v>
      </c>
      <c r="N449" t="s">
        <v>1379</v>
      </c>
      <c r="O449" t="s">
        <v>346</v>
      </c>
      <c r="P449">
        <v>29117</v>
      </c>
      <c r="Q449">
        <v>-1.7</v>
      </c>
      <c r="R449">
        <v>0.25</v>
      </c>
      <c r="S449" t="b">
        <v>1</v>
      </c>
      <c r="T449">
        <v>3</v>
      </c>
      <c r="U449">
        <v>13</v>
      </c>
      <c r="V449" t="s">
        <v>0</v>
      </c>
    </row>
    <row r="450" spans="1:22" x14ac:dyDescent="0.25">
      <c r="A450" t="s">
        <v>1378</v>
      </c>
      <c r="B450">
        <v>2017</v>
      </c>
      <c r="C450" t="s">
        <v>51</v>
      </c>
      <c r="D450" t="s">
        <v>18</v>
      </c>
      <c r="E450" t="s">
        <v>86</v>
      </c>
      <c r="F450" t="s">
        <v>80</v>
      </c>
      <c r="G450" t="s">
        <v>25</v>
      </c>
      <c r="H450" t="s">
        <v>102</v>
      </c>
      <c r="I450" t="s">
        <v>40</v>
      </c>
      <c r="J450" t="s">
        <v>23</v>
      </c>
      <c r="K450">
        <v>1</v>
      </c>
      <c r="L450" t="s">
        <v>1376</v>
      </c>
      <c r="M450">
        <v>0.53</v>
      </c>
      <c r="N450" t="s">
        <v>1377</v>
      </c>
      <c r="O450" t="s">
        <v>1376</v>
      </c>
      <c r="P450">
        <v>90257</v>
      </c>
      <c r="Q450">
        <v>1.72</v>
      </c>
      <c r="R450">
        <v>0.19</v>
      </c>
      <c r="S450" t="b">
        <v>1</v>
      </c>
      <c r="T450">
        <v>3</v>
      </c>
      <c r="U450">
        <v>8</v>
      </c>
      <c r="V450" t="s">
        <v>0</v>
      </c>
    </row>
    <row r="451" spans="1:22" x14ac:dyDescent="0.25">
      <c r="A451" t="s">
        <v>1375</v>
      </c>
      <c r="B451">
        <v>2017</v>
      </c>
      <c r="C451" t="s">
        <v>81</v>
      </c>
      <c r="D451" t="s">
        <v>28</v>
      </c>
      <c r="E451" t="s">
        <v>219</v>
      </c>
      <c r="F451" t="s">
        <v>41</v>
      </c>
      <c r="G451" t="s">
        <v>25</v>
      </c>
      <c r="H451" t="s">
        <v>4</v>
      </c>
      <c r="I451" t="s">
        <v>90</v>
      </c>
      <c r="J451" t="s">
        <v>96</v>
      </c>
      <c r="K451">
        <v>0</v>
      </c>
      <c r="M451">
        <v>0.11</v>
      </c>
      <c r="N451" t="s">
        <v>1374</v>
      </c>
      <c r="P451">
        <v>47653</v>
      </c>
      <c r="Q451">
        <v>-3.79</v>
      </c>
      <c r="R451">
        <v>0.64</v>
      </c>
      <c r="S451" t="b">
        <v>0</v>
      </c>
      <c r="T451">
        <v>2</v>
      </c>
      <c r="U451">
        <v>7</v>
      </c>
      <c r="V451" t="s">
        <v>0</v>
      </c>
    </row>
    <row r="452" spans="1:22" x14ac:dyDescent="0.25">
      <c r="A452" t="s">
        <v>1373</v>
      </c>
      <c r="B452">
        <v>2017</v>
      </c>
      <c r="C452" t="s">
        <v>220</v>
      </c>
      <c r="D452" t="s">
        <v>91</v>
      </c>
      <c r="E452" t="s">
        <v>17</v>
      </c>
      <c r="F452" t="s">
        <v>136</v>
      </c>
      <c r="G452" t="s">
        <v>62</v>
      </c>
      <c r="H452" t="s">
        <v>49</v>
      </c>
      <c r="I452" t="s">
        <v>74</v>
      </c>
      <c r="J452" t="s">
        <v>79</v>
      </c>
      <c r="K452">
        <v>0</v>
      </c>
      <c r="M452">
        <v>0.05</v>
      </c>
      <c r="N452" t="s">
        <v>1372</v>
      </c>
      <c r="P452">
        <v>59859</v>
      </c>
      <c r="Q452">
        <v>1.1000000000000001</v>
      </c>
      <c r="R452">
        <v>0.71</v>
      </c>
      <c r="S452" t="b">
        <v>0</v>
      </c>
      <c r="T452">
        <v>3</v>
      </c>
      <c r="U452">
        <v>8</v>
      </c>
      <c r="V452" t="s">
        <v>0</v>
      </c>
    </row>
    <row r="453" spans="1:22" x14ac:dyDescent="0.25">
      <c r="A453" t="s">
        <v>1371</v>
      </c>
      <c r="B453">
        <v>2017</v>
      </c>
      <c r="C453" t="s">
        <v>29</v>
      </c>
      <c r="D453" t="s">
        <v>28</v>
      </c>
      <c r="E453" t="s">
        <v>7</v>
      </c>
      <c r="F453" t="s">
        <v>108</v>
      </c>
      <c r="G453" t="s">
        <v>135</v>
      </c>
      <c r="H453" t="s">
        <v>141</v>
      </c>
      <c r="I453" t="s">
        <v>33</v>
      </c>
      <c r="J453" t="s">
        <v>79</v>
      </c>
      <c r="K453">
        <v>0</v>
      </c>
      <c r="M453">
        <v>7.0000000000000007E-2</v>
      </c>
      <c r="N453" t="s">
        <v>1370</v>
      </c>
      <c r="P453">
        <v>48059</v>
      </c>
      <c r="Q453">
        <v>1.96</v>
      </c>
      <c r="R453">
        <v>0.76</v>
      </c>
      <c r="S453" t="b">
        <v>0</v>
      </c>
      <c r="T453">
        <v>1</v>
      </c>
      <c r="U453">
        <v>11</v>
      </c>
      <c r="V453" t="s">
        <v>0</v>
      </c>
    </row>
    <row r="454" spans="1:22" x14ac:dyDescent="0.25">
      <c r="A454" t="s">
        <v>1369</v>
      </c>
      <c r="B454">
        <v>2017</v>
      </c>
      <c r="C454" t="s">
        <v>215</v>
      </c>
      <c r="D454" t="s">
        <v>91</v>
      </c>
      <c r="E454" t="s">
        <v>86</v>
      </c>
      <c r="F454" t="s">
        <v>6</v>
      </c>
      <c r="G454" t="s">
        <v>62</v>
      </c>
      <c r="H454" t="s">
        <v>61</v>
      </c>
      <c r="I454" t="s">
        <v>107</v>
      </c>
      <c r="J454" t="s">
        <v>96</v>
      </c>
      <c r="K454">
        <v>0</v>
      </c>
      <c r="M454">
        <v>0.14000000000000001</v>
      </c>
      <c r="N454" t="s">
        <v>1368</v>
      </c>
      <c r="P454">
        <v>54294</v>
      </c>
      <c r="Q454">
        <v>-0.84</v>
      </c>
      <c r="R454">
        <v>0.74</v>
      </c>
      <c r="S454" t="b">
        <v>0</v>
      </c>
      <c r="T454">
        <v>1</v>
      </c>
      <c r="U454">
        <v>10</v>
      </c>
      <c r="V454" t="s">
        <v>0</v>
      </c>
    </row>
    <row r="455" spans="1:22" x14ac:dyDescent="0.25">
      <c r="A455" t="s">
        <v>1367</v>
      </c>
      <c r="B455">
        <v>2017</v>
      </c>
      <c r="C455" t="s">
        <v>51</v>
      </c>
      <c r="D455" t="s">
        <v>18</v>
      </c>
      <c r="E455" t="s">
        <v>86</v>
      </c>
      <c r="F455" t="s">
        <v>108</v>
      </c>
      <c r="G455" t="s">
        <v>25</v>
      </c>
      <c r="H455" t="s">
        <v>15</v>
      </c>
      <c r="I455" t="s">
        <v>33</v>
      </c>
      <c r="J455" t="s">
        <v>13</v>
      </c>
      <c r="K455">
        <v>1</v>
      </c>
      <c r="L455" t="s">
        <v>110</v>
      </c>
      <c r="M455">
        <v>0.91</v>
      </c>
      <c r="N455" t="s">
        <v>1366</v>
      </c>
      <c r="O455" t="s">
        <v>110</v>
      </c>
      <c r="P455">
        <v>82883</v>
      </c>
      <c r="Q455">
        <v>3.61</v>
      </c>
      <c r="R455">
        <v>0.27</v>
      </c>
      <c r="S455" t="b">
        <v>1</v>
      </c>
      <c r="T455">
        <v>1</v>
      </c>
      <c r="U455">
        <v>1</v>
      </c>
      <c r="V455" t="s">
        <v>0</v>
      </c>
    </row>
    <row r="456" spans="1:22" x14ac:dyDescent="0.25">
      <c r="A456" t="s">
        <v>1365</v>
      </c>
      <c r="B456">
        <v>2017</v>
      </c>
      <c r="C456" t="s">
        <v>348</v>
      </c>
      <c r="D456" t="s">
        <v>64</v>
      </c>
      <c r="E456" t="s">
        <v>130</v>
      </c>
      <c r="F456" t="s">
        <v>115</v>
      </c>
      <c r="G456" t="s">
        <v>5</v>
      </c>
      <c r="H456" t="s">
        <v>85</v>
      </c>
      <c r="I456" t="s">
        <v>97</v>
      </c>
      <c r="J456" t="s">
        <v>96</v>
      </c>
      <c r="K456">
        <v>0</v>
      </c>
      <c r="M456">
        <v>0.11</v>
      </c>
      <c r="N456" t="s">
        <v>1364</v>
      </c>
      <c r="P456">
        <v>73544</v>
      </c>
      <c r="Q456">
        <v>-2.2000000000000002</v>
      </c>
      <c r="R456">
        <v>0.64</v>
      </c>
      <c r="S456" t="b">
        <v>0</v>
      </c>
      <c r="T456">
        <v>3</v>
      </c>
      <c r="U456">
        <v>10</v>
      </c>
      <c r="V456" t="s">
        <v>0</v>
      </c>
    </row>
    <row r="457" spans="1:22" x14ac:dyDescent="0.25">
      <c r="A457" t="s">
        <v>1363</v>
      </c>
      <c r="B457">
        <v>2017</v>
      </c>
      <c r="C457" t="s">
        <v>161</v>
      </c>
      <c r="D457" t="s">
        <v>8</v>
      </c>
      <c r="E457" t="s">
        <v>147</v>
      </c>
      <c r="F457" t="s">
        <v>55</v>
      </c>
      <c r="G457" t="s">
        <v>62</v>
      </c>
      <c r="H457" t="s">
        <v>15</v>
      </c>
      <c r="I457" t="s">
        <v>24</v>
      </c>
      <c r="J457" t="s">
        <v>73</v>
      </c>
      <c r="K457">
        <v>0</v>
      </c>
      <c r="M457">
        <v>0.12</v>
      </c>
      <c r="N457" t="s">
        <v>1362</v>
      </c>
      <c r="P457">
        <v>24004</v>
      </c>
      <c r="Q457">
        <v>1.57</v>
      </c>
      <c r="R457">
        <v>0.81</v>
      </c>
      <c r="S457" t="b">
        <v>0</v>
      </c>
      <c r="T457">
        <v>1</v>
      </c>
      <c r="U457">
        <v>5</v>
      </c>
      <c r="V457" t="s">
        <v>0</v>
      </c>
    </row>
    <row r="458" spans="1:22" x14ac:dyDescent="0.25">
      <c r="A458" t="s">
        <v>1361</v>
      </c>
      <c r="B458">
        <v>2017</v>
      </c>
      <c r="C458" t="s">
        <v>70</v>
      </c>
      <c r="D458" t="s">
        <v>18</v>
      </c>
      <c r="E458" t="s">
        <v>42</v>
      </c>
      <c r="F458" t="s">
        <v>124</v>
      </c>
      <c r="G458" t="s">
        <v>5</v>
      </c>
      <c r="H458" t="s">
        <v>4</v>
      </c>
      <c r="I458" t="s">
        <v>14</v>
      </c>
      <c r="J458" t="s">
        <v>73</v>
      </c>
      <c r="K458">
        <v>0</v>
      </c>
      <c r="M458">
        <v>0.04</v>
      </c>
      <c r="N458" t="s">
        <v>1360</v>
      </c>
      <c r="P458">
        <v>58148</v>
      </c>
      <c r="Q458">
        <v>1.25</v>
      </c>
      <c r="R458">
        <v>0.75</v>
      </c>
      <c r="S458" t="b">
        <v>0</v>
      </c>
      <c r="T458">
        <v>3</v>
      </c>
      <c r="U458">
        <v>14</v>
      </c>
      <c r="V458" t="s">
        <v>0</v>
      </c>
    </row>
    <row r="459" spans="1:22" x14ac:dyDescent="0.25">
      <c r="A459" t="s">
        <v>1359</v>
      </c>
      <c r="B459">
        <v>2017</v>
      </c>
      <c r="C459" t="s">
        <v>58</v>
      </c>
      <c r="D459" t="s">
        <v>57</v>
      </c>
      <c r="E459" t="s">
        <v>116</v>
      </c>
      <c r="F459" t="s">
        <v>136</v>
      </c>
      <c r="G459" t="s">
        <v>62</v>
      </c>
      <c r="H459" t="s">
        <v>61</v>
      </c>
      <c r="I459" t="s">
        <v>33</v>
      </c>
      <c r="J459" t="s">
        <v>79</v>
      </c>
      <c r="K459">
        <v>0</v>
      </c>
      <c r="M459">
        <v>0.03</v>
      </c>
      <c r="N459" t="s">
        <v>1358</v>
      </c>
      <c r="P459">
        <v>74784</v>
      </c>
      <c r="Q459">
        <v>-0.24</v>
      </c>
      <c r="R459">
        <v>0.82</v>
      </c>
      <c r="S459" t="b">
        <v>0</v>
      </c>
      <c r="T459">
        <v>2</v>
      </c>
      <c r="U459">
        <v>18</v>
      </c>
      <c r="V459" t="s">
        <v>0</v>
      </c>
    </row>
    <row r="460" spans="1:22" x14ac:dyDescent="0.25">
      <c r="A460" t="s">
        <v>1357</v>
      </c>
      <c r="B460">
        <v>2017</v>
      </c>
      <c r="C460" t="s">
        <v>298</v>
      </c>
      <c r="D460" t="s">
        <v>125</v>
      </c>
      <c r="E460" t="s">
        <v>27</v>
      </c>
      <c r="F460" t="s">
        <v>136</v>
      </c>
      <c r="G460" t="s">
        <v>16</v>
      </c>
      <c r="H460" t="s">
        <v>34</v>
      </c>
      <c r="I460" t="s">
        <v>107</v>
      </c>
      <c r="J460" t="s">
        <v>2</v>
      </c>
      <c r="K460">
        <v>0</v>
      </c>
      <c r="M460">
        <v>0.09</v>
      </c>
      <c r="N460" t="s">
        <v>1356</v>
      </c>
      <c r="P460">
        <v>22987</v>
      </c>
      <c r="Q460">
        <v>0.76</v>
      </c>
      <c r="R460">
        <v>0.63</v>
      </c>
      <c r="S460" t="b">
        <v>0</v>
      </c>
      <c r="T460">
        <v>3</v>
      </c>
      <c r="U460">
        <v>14</v>
      </c>
      <c r="V460" t="s">
        <v>0</v>
      </c>
    </row>
    <row r="461" spans="1:22" x14ac:dyDescent="0.25">
      <c r="A461" t="s">
        <v>1355</v>
      </c>
      <c r="B461">
        <v>2017</v>
      </c>
      <c r="C461" t="s">
        <v>183</v>
      </c>
      <c r="D461" t="s">
        <v>131</v>
      </c>
      <c r="E461" t="s">
        <v>219</v>
      </c>
      <c r="F461" t="s">
        <v>136</v>
      </c>
      <c r="G461" t="s">
        <v>5</v>
      </c>
      <c r="H461" t="s">
        <v>61</v>
      </c>
      <c r="I461" t="s">
        <v>14</v>
      </c>
      <c r="J461" t="s">
        <v>96</v>
      </c>
      <c r="K461">
        <v>0</v>
      </c>
      <c r="M461">
        <v>0.03</v>
      </c>
      <c r="N461" t="s">
        <v>1354</v>
      </c>
      <c r="P461">
        <v>40332</v>
      </c>
      <c r="Q461">
        <v>-4.88</v>
      </c>
      <c r="R461">
        <v>0.88</v>
      </c>
      <c r="S461" t="b">
        <v>0</v>
      </c>
      <c r="T461">
        <v>2</v>
      </c>
      <c r="U461">
        <v>19</v>
      </c>
      <c r="V461" t="s">
        <v>0</v>
      </c>
    </row>
    <row r="462" spans="1:22" x14ac:dyDescent="0.25">
      <c r="A462" t="s">
        <v>1353</v>
      </c>
      <c r="B462">
        <v>2017</v>
      </c>
      <c r="C462" t="s">
        <v>407</v>
      </c>
      <c r="D462" t="s">
        <v>131</v>
      </c>
      <c r="E462" t="s">
        <v>27</v>
      </c>
      <c r="F462" t="s">
        <v>35</v>
      </c>
      <c r="G462" t="s">
        <v>16</v>
      </c>
      <c r="H462" t="s">
        <v>4</v>
      </c>
      <c r="I462" t="s">
        <v>3</v>
      </c>
      <c r="J462" t="s">
        <v>23</v>
      </c>
      <c r="K462">
        <v>0</v>
      </c>
      <c r="M462">
        <v>0.01</v>
      </c>
      <c r="N462" t="s">
        <v>1352</v>
      </c>
      <c r="P462">
        <v>31598</v>
      </c>
      <c r="Q462">
        <v>1.78</v>
      </c>
      <c r="R462">
        <v>0.89</v>
      </c>
      <c r="S462" t="b">
        <v>0</v>
      </c>
      <c r="T462">
        <v>2</v>
      </c>
      <c r="U462">
        <v>6</v>
      </c>
      <c r="V462" t="s">
        <v>0</v>
      </c>
    </row>
    <row r="463" spans="1:22" x14ac:dyDescent="0.25">
      <c r="A463" t="s">
        <v>1351</v>
      </c>
      <c r="B463">
        <v>2017</v>
      </c>
      <c r="C463" t="s">
        <v>157</v>
      </c>
      <c r="D463" t="s">
        <v>18</v>
      </c>
      <c r="E463" t="s">
        <v>116</v>
      </c>
      <c r="F463" t="s">
        <v>41</v>
      </c>
      <c r="G463" t="s">
        <v>25</v>
      </c>
      <c r="H463" t="s">
        <v>49</v>
      </c>
      <c r="I463" t="s">
        <v>33</v>
      </c>
      <c r="J463" t="s">
        <v>2</v>
      </c>
      <c r="K463">
        <v>0</v>
      </c>
      <c r="M463">
        <v>0.19</v>
      </c>
      <c r="N463" t="s">
        <v>1350</v>
      </c>
      <c r="P463">
        <v>66988</v>
      </c>
      <c r="Q463">
        <v>3.29</v>
      </c>
      <c r="R463">
        <v>0.88</v>
      </c>
      <c r="S463" t="b">
        <v>0</v>
      </c>
      <c r="T463">
        <v>3</v>
      </c>
      <c r="U463">
        <v>7</v>
      </c>
      <c r="V463" t="s">
        <v>0</v>
      </c>
    </row>
    <row r="464" spans="1:22" x14ac:dyDescent="0.25">
      <c r="A464" t="s">
        <v>1349</v>
      </c>
      <c r="B464">
        <v>2017</v>
      </c>
      <c r="C464" t="s">
        <v>65</v>
      </c>
      <c r="D464" t="s">
        <v>64</v>
      </c>
      <c r="E464" t="s">
        <v>50</v>
      </c>
      <c r="F464" t="s">
        <v>41</v>
      </c>
      <c r="G464" t="s">
        <v>62</v>
      </c>
      <c r="H464" t="s">
        <v>102</v>
      </c>
      <c r="I464" t="s">
        <v>40</v>
      </c>
      <c r="J464" t="s">
        <v>13</v>
      </c>
      <c r="K464">
        <v>0</v>
      </c>
      <c r="M464">
        <v>0.12</v>
      </c>
      <c r="N464" t="s">
        <v>1348</v>
      </c>
      <c r="P464">
        <v>74574</v>
      </c>
      <c r="Q464">
        <v>2.63</v>
      </c>
      <c r="R464">
        <v>0.8</v>
      </c>
      <c r="S464" t="b">
        <v>0</v>
      </c>
      <c r="T464">
        <v>1</v>
      </c>
      <c r="U464">
        <v>17</v>
      </c>
      <c r="V464" t="s">
        <v>0</v>
      </c>
    </row>
    <row r="465" spans="1:22" x14ac:dyDescent="0.25">
      <c r="A465" t="s">
        <v>1347</v>
      </c>
      <c r="B465">
        <v>2017</v>
      </c>
      <c r="C465" t="s">
        <v>117</v>
      </c>
      <c r="D465" t="s">
        <v>91</v>
      </c>
      <c r="E465" t="s">
        <v>7</v>
      </c>
      <c r="F465" t="s">
        <v>103</v>
      </c>
      <c r="G465" t="s">
        <v>62</v>
      </c>
      <c r="H465" t="s">
        <v>15</v>
      </c>
      <c r="I465" t="s">
        <v>14</v>
      </c>
      <c r="J465" t="s">
        <v>2</v>
      </c>
      <c r="K465">
        <v>1</v>
      </c>
      <c r="L465" t="s">
        <v>1345</v>
      </c>
      <c r="M465">
        <v>0.51</v>
      </c>
      <c r="N465" t="s">
        <v>1346</v>
      </c>
      <c r="O465" t="s">
        <v>1345</v>
      </c>
      <c r="P465">
        <v>92859</v>
      </c>
      <c r="Q465">
        <v>-1.04</v>
      </c>
      <c r="R465">
        <v>0.36</v>
      </c>
      <c r="S465" t="b">
        <v>1</v>
      </c>
      <c r="T465">
        <v>2</v>
      </c>
      <c r="U465">
        <v>18</v>
      </c>
      <c r="V465" t="s">
        <v>0</v>
      </c>
    </row>
    <row r="466" spans="1:22" x14ac:dyDescent="0.25">
      <c r="A466" t="s">
        <v>1344</v>
      </c>
      <c r="B466">
        <v>2017</v>
      </c>
      <c r="C466" t="s">
        <v>58</v>
      </c>
      <c r="D466" t="s">
        <v>57</v>
      </c>
      <c r="E466" t="s">
        <v>7</v>
      </c>
      <c r="F466" t="s">
        <v>55</v>
      </c>
      <c r="G466" t="s">
        <v>62</v>
      </c>
      <c r="H466" t="s">
        <v>102</v>
      </c>
      <c r="I466" t="s">
        <v>97</v>
      </c>
      <c r="J466" t="s">
        <v>13</v>
      </c>
      <c r="K466">
        <v>0</v>
      </c>
      <c r="M466">
        <v>0.11</v>
      </c>
      <c r="N466" t="s">
        <v>1343</v>
      </c>
      <c r="P466">
        <v>74314</v>
      </c>
      <c r="Q466">
        <v>-1.08</v>
      </c>
      <c r="R466">
        <v>0.7</v>
      </c>
      <c r="S466" t="b">
        <v>0</v>
      </c>
      <c r="T466">
        <v>1</v>
      </c>
      <c r="U466">
        <v>3</v>
      </c>
      <c r="V466" t="s">
        <v>0</v>
      </c>
    </row>
    <row r="467" spans="1:22" x14ac:dyDescent="0.25">
      <c r="A467" t="s">
        <v>1342</v>
      </c>
      <c r="B467">
        <v>2017</v>
      </c>
      <c r="C467" t="s">
        <v>65</v>
      </c>
      <c r="D467" t="s">
        <v>64</v>
      </c>
      <c r="E467" t="s">
        <v>121</v>
      </c>
      <c r="F467" t="s">
        <v>41</v>
      </c>
      <c r="G467" t="s">
        <v>135</v>
      </c>
      <c r="H467" t="s">
        <v>102</v>
      </c>
      <c r="I467" t="s">
        <v>68</v>
      </c>
      <c r="J467" t="s">
        <v>79</v>
      </c>
      <c r="K467">
        <v>0</v>
      </c>
      <c r="M467">
        <v>0.09</v>
      </c>
      <c r="N467" t="s">
        <v>1341</v>
      </c>
      <c r="P467">
        <v>77410</v>
      </c>
      <c r="Q467">
        <v>-0.19</v>
      </c>
      <c r="R467">
        <v>0.83</v>
      </c>
      <c r="S467" t="b">
        <v>0</v>
      </c>
      <c r="T467">
        <v>2</v>
      </c>
      <c r="U467">
        <v>0</v>
      </c>
      <c r="V467" t="s">
        <v>0</v>
      </c>
    </row>
    <row r="468" spans="1:22" x14ac:dyDescent="0.25">
      <c r="A468" t="s">
        <v>1340</v>
      </c>
      <c r="B468">
        <v>2017</v>
      </c>
      <c r="C468" t="s">
        <v>157</v>
      </c>
      <c r="D468" t="s">
        <v>18</v>
      </c>
      <c r="E468" t="s">
        <v>86</v>
      </c>
      <c r="F468" t="s">
        <v>69</v>
      </c>
      <c r="G468" t="s">
        <v>5</v>
      </c>
      <c r="H468" t="s">
        <v>34</v>
      </c>
      <c r="I468" t="s">
        <v>68</v>
      </c>
      <c r="J468" t="s">
        <v>79</v>
      </c>
      <c r="K468">
        <v>0</v>
      </c>
      <c r="M468">
        <v>0.12</v>
      </c>
      <c r="N468" t="s">
        <v>1339</v>
      </c>
      <c r="P468">
        <v>67600</v>
      </c>
      <c r="Q468">
        <v>-0.31</v>
      </c>
      <c r="R468">
        <v>0.84</v>
      </c>
      <c r="S468" t="b">
        <v>0</v>
      </c>
      <c r="T468">
        <v>2</v>
      </c>
      <c r="U468">
        <v>4</v>
      </c>
      <c r="V468" t="s">
        <v>0</v>
      </c>
    </row>
    <row r="469" spans="1:22" x14ac:dyDescent="0.25">
      <c r="A469" t="s">
        <v>1338</v>
      </c>
      <c r="B469">
        <v>2017</v>
      </c>
      <c r="C469" t="s">
        <v>382</v>
      </c>
      <c r="D469" t="s">
        <v>125</v>
      </c>
      <c r="E469" t="s">
        <v>147</v>
      </c>
      <c r="F469" t="s">
        <v>63</v>
      </c>
      <c r="G469" t="s">
        <v>16</v>
      </c>
      <c r="H469" t="s">
        <v>34</v>
      </c>
      <c r="I469" t="s">
        <v>24</v>
      </c>
      <c r="J469" t="s">
        <v>79</v>
      </c>
      <c r="K469">
        <v>1</v>
      </c>
      <c r="L469" t="s">
        <v>150</v>
      </c>
      <c r="M469">
        <v>0.59</v>
      </c>
      <c r="N469" t="s">
        <v>1337</v>
      </c>
      <c r="O469" t="s">
        <v>150</v>
      </c>
      <c r="P469">
        <v>27675</v>
      </c>
      <c r="Q469">
        <v>1.69</v>
      </c>
      <c r="R469">
        <v>0.17</v>
      </c>
      <c r="S469" t="b">
        <v>1</v>
      </c>
      <c r="T469">
        <v>3</v>
      </c>
      <c r="U469">
        <v>6</v>
      </c>
      <c r="V469" t="s">
        <v>0</v>
      </c>
    </row>
    <row r="470" spans="1:22" x14ac:dyDescent="0.25">
      <c r="A470" t="s">
        <v>1336</v>
      </c>
      <c r="B470">
        <v>2017</v>
      </c>
      <c r="C470" t="s">
        <v>58</v>
      </c>
      <c r="D470" t="s">
        <v>57</v>
      </c>
      <c r="E470" t="s">
        <v>147</v>
      </c>
      <c r="F470" t="s">
        <v>55</v>
      </c>
      <c r="G470" t="s">
        <v>25</v>
      </c>
      <c r="H470" t="s">
        <v>102</v>
      </c>
      <c r="I470" t="s">
        <v>107</v>
      </c>
      <c r="J470" t="s">
        <v>79</v>
      </c>
      <c r="K470">
        <v>0</v>
      </c>
      <c r="M470">
        <v>0.02</v>
      </c>
      <c r="N470" t="s">
        <v>1335</v>
      </c>
      <c r="P470">
        <v>72430</v>
      </c>
      <c r="Q470">
        <v>-0.72</v>
      </c>
      <c r="R470">
        <v>0.67</v>
      </c>
      <c r="S470" t="b">
        <v>0</v>
      </c>
      <c r="T470">
        <v>1</v>
      </c>
      <c r="U470">
        <v>7</v>
      </c>
      <c r="V470" t="s">
        <v>0</v>
      </c>
    </row>
    <row r="471" spans="1:22" x14ac:dyDescent="0.25">
      <c r="A471" t="s">
        <v>1334</v>
      </c>
      <c r="B471">
        <v>2017</v>
      </c>
      <c r="C471" t="s">
        <v>104</v>
      </c>
      <c r="D471" t="s">
        <v>8</v>
      </c>
      <c r="E471" t="s">
        <v>219</v>
      </c>
      <c r="F471" t="s">
        <v>103</v>
      </c>
      <c r="G471" t="s">
        <v>5</v>
      </c>
      <c r="H471" t="s">
        <v>179</v>
      </c>
      <c r="I471" t="s">
        <v>24</v>
      </c>
      <c r="J471" t="s">
        <v>23</v>
      </c>
      <c r="K471">
        <v>0</v>
      </c>
      <c r="M471">
        <v>0.01</v>
      </c>
      <c r="N471" t="s">
        <v>1129</v>
      </c>
      <c r="P471">
        <v>23154</v>
      </c>
      <c r="Q471">
        <v>-1.7</v>
      </c>
      <c r="R471">
        <v>0.63</v>
      </c>
      <c r="S471" t="b">
        <v>0</v>
      </c>
      <c r="T471">
        <v>2</v>
      </c>
      <c r="U471">
        <v>14</v>
      </c>
      <c r="V471" t="s">
        <v>0</v>
      </c>
    </row>
    <row r="472" spans="1:22" x14ac:dyDescent="0.25">
      <c r="A472" s="1" t="s">
        <v>1333</v>
      </c>
      <c r="B472">
        <v>2017</v>
      </c>
      <c r="C472" t="s">
        <v>183</v>
      </c>
      <c r="D472" t="s">
        <v>131</v>
      </c>
      <c r="E472" t="s">
        <v>50</v>
      </c>
      <c r="F472" t="s">
        <v>112</v>
      </c>
      <c r="G472" t="s">
        <v>25</v>
      </c>
      <c r="H472" t="s">
        <v>102</v>
      </c>
      <c r="I472" t="s">
        <v>97</v>
      </c>
      <c r="J472" t="s">
        <v>73</v>
      </c>
      <c r="K472">
        <v>0</v>
      </c>
      <c r="M472">
        <v>0.11</v>
      </c>
      <c r="N472" t="s">
        <v>1332</v>
      </c>
      <c r="P472">
        <v>33835</v>
      </c>
      <c r="Q472">
        <v>2.4500000000000002</v>
      </c>
      <c r="R472">
        <v>0.84</v>
      </c>
      <c r="S472" t="b">
        <v>0</v>
      </c>
      <c r="T472">
        <v>3</v>
      </c>
      <c r="U472">
        <v>5</v>
      </c>
      <c r="V472" t="s">
        <v>0</v>
      </c>
    </row>
    <row r="473" spans="1:22" x14ac:dyDescent="0.25">
      <c r="A473" t="s">
        <v>1331</v>
      </c>
      <c r="B473">
        <v>2017</v>
      </c>
      <c r="C473" t="s">
        <v>58</v>
      </c>
      <c r="D473" t="s">
        <v>57</v>
      </c>
      <c r="E473" t="s">
        <v>147</v>
      </c>
      <c r="F473" t="s">
        <v>103</v>
      </c>
      <c r="G473" t="s">
        <v>62</v>
      </c>
      <c r="H473" t="s">
        <v>102</v>
      </c>
      <c r="I473" t="s">
        <v>90</v>
      </c>
      <c r="J473" t="s">
        <v>2</v>
      </c>
      <c r="K473">
        <v>0</v>
      </c>
      <c r="M473">
        <v>0.12</v>
      </c>
      <c r="N473" t="s">
        <v>1330</v>
      </c>
      <c r="P473">
        <v>67041</v>
      </c>
      <c r="Q473">
        <v>-0.2</v>
      </c>
      <c r="R473">
        <v>0.68</v>
      </c>
      <c r="S473" t="b">
        <v>0</v>
      </c>
      <c r="T473">
        <v>2</v>
      </c>
      <c r="U473">
        <v>7</v>
      </c>
      <c r="V473" t="s">
        <v>0</v>
      </c>
    </row>
    <row r="474" spans="1:22" x14ac:dyDescent="0.25">
      <c r="A474" t="s">
        <v>1329</v>
      </c>
      <c r="B474">
        <v>2017</v>
      </c>
      <c r="C474" t="s">
        <v>176</v>
      </c>
      <c r="D474" t="s">
        <v>64</v>
      </c>
      <c r="E474" t="s">
        <v>182</v>
      </c>
      <c r="F474" t="s">
        <v>55</v>
      </c>
      <c r="G474" t="s">
        <v>62</v>
      </c>
      <c r="H474" t="s">
        <v>49</v>
      </c>
      <c r="I474" t="s">
        <v>74</v>
      </c>
      <c r="J474" t="s">
        <v>79</v>
      </c>
      <c r="K474">
        <v>1</v>
      </c>
      <c r="L474" t="s">
        <v>150</v>
      </c>
      <c r="M474">
        <v>0.93</v>
      </c>
      <c r="N474" t="s">
        <v>1328</v>
      </c>
      <c r="O474" t="s">
        <v>150</v>
      </c>
      <c r="P474">
        <v>104575</v>
      </c>
      <c r="Q474">
        <v>2.36</v>
      </c>
      <c r="R474">
        <v>0.2</v>
      </c>
      <c r="S474" t="b">
        <v>1</v>
      </c>
      <c r="T474">
        <v>1</v>
      </c>
      <c r="U474">
        <v>17</v>
      </c>
      <c r="V474" t="s">
        <v>0</v>
      </c>
    </row>
    <row r="475" spans="1:22" x14ac:dyDescent="0.25">
      <c r="A475" t="s">
        <v>1327</v>
      </c>
      <c r="B475">
        <v>2017</v>
      </c>
      <c r="C475" t="s">
        <v>51</v>
      </c>
      <c r="D475" t="s">
        <v>18</v>
      </c>
      <c r="E475" t="s">
        <v>219</v>
      </c>
      <c r="F475" t="s">
        <v>41</v>
      </c>
      <c r="G475" t="s">
        <v>135</v>
      </c>
      <c r="H475" t="s">
        <v>61</v>
      </c>
      <c r="I475" t="s">
        <v>97</v>
      </c>
      <c r="J475" t="s">
        <v>2</v>
      </c>
      <c r="K475">
        <v>0</v>
      </c>
      <c r="M475">
        <v>0.2</v>
      </c>
      <c r="N475" t="s">
        <v>1326</v>
      </c>
      <c r="P475">
        <v>68647</v>
      </c>
      <c r="Q475">
        <v>-4.2300000000000004</v>
      </c>
      <c r="R475">
        <v>0.81</v>
      </c>
      <c r="S475" t="b">
        <v>0</v>
      </c>
      <c r="T475">
        <v>2</v>
      </c>
      <c r="U475">
        <v>3</v>
      </c>
      <c r="V475" t="s">
        <v>0</v>
      </c>
    </row>
    <row r="476" spans="1:22" x14ac:dyDescent="0.25">
      <c r="A476" t="s">
        <v>1325</v>
      </c>
      <c r="B476">
        <v>2017</v>
      </c>
      <c r="C476" t="s">
        <v>157</v>
      </c>
      <c r="D476" t="s">
        <v>18</v>
      </c>
      <c r="E476" t="s">
        <v>219</v>
      </c>
      <c r="F476" t="s">
        <v>112</v>
      </c>
      <c r="G476" t="s">
        <v>25</v>
      </c>
      <c r="H476" t="s">
        <v>15</v>
      </c>
      <c r="I476" t="s">
        <v>24</v>
      </c>
      <c r="J476" t="s">
        <v>73</v>
      </c>
      <c r="K476">
        <v>0</v>
      </c>
      <c r="M476">
        <v>0.04</v>
      </c>
      <c r="N476" t="s">
        <v>1324</v>
      </c>
      <c r="P476">
        <v>65942</v>
      </c>
      <c r="Q476">
        <v>-3.76</v>
      </c>
      <c r="R476">
        <v>0.89</v>
      </c>
      <c r="S476" t="b">
        <v>0</v>
      </c>
      <c r="T476">
        <v>2</v>
      </c>
      <c r="U476">
        <v>9</v>
      </c>
      <c r="V476" t="s">
        <v>0</v>
      </c>
    </row>
    <row r="477" spans="1:22" x14ac:dyDescent="0.25">
      <c r="A477" t="s">
        <v>1323</v>
      </c>
      <c r="B477">
        <v>2017</v>
      </c>
      <c r="C477" t="s">
        <v>348</v>
      </c>
      <c r="D477" t="s">
        <v>64</v>
      </c>
      <c r="E477" t="s">
        <v>17</v>
      </c>
      <c r="F477" t="s">
        <v>6</v>
      </c>
      <c r="G477" t="s">
        <v>62</v>
      </c>
      <c r="H477" t="s">
        <v>102</v>
      </c>
      <c r="I477" t="s">
        <v>33</v>
      </c>
      <c r="J477" t="s">
        <v>13</v>
      </c>
      <c r="K477">
        <v>0</v>
      </c>
      <c r="M477">
        <v>0</v>
      </c>
      <c r="N477" t="s">
        <v>1322</v>
      </c>
      <c r="P477">
        <v>93464</v>
      </c>
      <c r="Q477">
        <v>3.49</v>
      </c>
      <c r="R477">
        <v>0.76</v>
      </c>
      <c r="S477" t="b">
        <v>0</v>
      </c>
      <c r="T477">
        <v>3</v>
      </c>
      <c r="U477">
        <v>11</v>
      </c>
      <c r="V477" t="s">
        <v>0</v>
      </c>
    </row>
    <row r="478" spans="1:22" x14ac:dyDescent="0.25">
      <c r="A478" t="s">
        <v>1321</v>
      </c>
      <c r="B478">
        <v>2017</v>
      </c>
      <c r="C478" t="s">
        <v>382</v>
      </c>
      <c r="D478" t="s">
        <v>125</v>
      </c>
      <c r="E478" t="s">
        <v>27</v>
      </c>
      <c r="F478" t="s">
        <v>75</v>
      </c>
      <c r="G478" t="s">
        <v>135</v>
      </c>
      <c r="H478" t="s">
        <v>179</v>
      </c>
      <c r="I478" t="s">
        <v>107</v>
      </c>
      <c r="J478" t="s">
        <v>23</v>
      </c>
      <c r="K478">
        <v>0</v>
      </c>
      <c r="M478">
        <v>0.15</v>
      </c>
      <c r="N478" t="s">
        <v>1320</v>
      </c>
      <c r="P478">
        <v>19267</v>
      </c>
      <c r="Q478">
        <v>-2.59</v>
      </c>
      <c r="R478">
        <v>0.82</v>
      </c>
      <c r="S478" t="b">
        <v>0</v>
      </c>
      <c r="T478">
        <v>2</v>
      </c>
      <c r="U478">
        <v>13</v>
      </c>
      <c r="V478" t="s">
        <v>0</v>
      </c>
    </row>
    <row r="479" spans="1:22" x14ac:dyDescent="0.25">
      <c r="A479" t="s">
        <v>1319</v>
      </c>
      <c r="B479">
        <v>2017</v>
      </c>
      <c r="C479" t="s">
        <v>137</v>
      </c>
      <c r="D479" t="s">
        <v>43</v>
      </c>
      <c r="E479" t="s">
        <v>130</v>
      </c>
      <c r="F479" t="s">
        <v>69</v>
      </c>
      <c r="G479" t="s">
        <v>5</v>
      </c>
      <c r="H479" t="s">
        <v>85</v>
      </c>
      <c r="I479" t="s">
        <v>97</v>
      </c>
      <c r="J479" t="s">
        <v>79</v>
      </c>
      <c r="K479">
        <v>0</v>
      </c>
      <c r="M479">
        <v>0.13</v>
      </c>
      <c r="N479" t="s">
        <v>1318</v>
      </c>
      <c r="P479">
        <v>74731</v>
      </c>
      <c r="Q479">
        <v>0.43</v>
      </c>
      <c r="R479">
        <v>0.69</v>
      </c>
      <c r="S479" t="b">
        <v>0</v>
      </c>
      <c r="T479">
        <v>2</v>
      </c>
      <c r="U479">
        <v>3</v>
      </c>
      <c r="V479" t="s">
        <v>0</v>
      </c>
    </row>
    <row r="480" spans="1:22" x14ac:dyDescent="0.25">
      <c r="A480" t="s">
        <v>1317</v>
      </c>
      <c r="B480">
        <v>2017</v>
      </c>
      <c r="C480" t="s">
        <v>171</v>
      </c>
      <c r="D480" t="s">
        <v>57</v>
      </c>
      <c r="E480" t="s">
        <v>121</v>
      </c>
      <c r="F480" t="s">
        <v>108</v>
      </c>
      <c r="G480" t="s">
        <v>25</v>
      </c>
      <c r="H480" t="s">
        <v>61</v>
      </c>
      <c r="I480" t="s">
        <v>14</v>
      </c>
      <c r="J480" t="s">
        <v>79</v>
      </c>
      <c r="K480">
        <v>1</v>
      </c>
      <c r="L480" t="s">
        <v>150</v>
      </c>
      <c r="M480">
        <v>0.62</v>
      </c>
      <c r="N480" t="s">
        <v>1316</v>
      </c>
      <c r="O480" t="s">
        <v>150</v>
      </c>
      <c r="P480">
        <v>100573</v>
      </c>
      <c r="Q480">
        <v>-3.89</v>
      </c>
      <c r="R480">
        <v>0.19</v>
      </c>
      <c r="S480" t="b">
        <v>1</v>
      </c>
      <c r="T480">
        <v>3</v>
      </c>
      <c r="U480">
        <v>3</v>
      </c>
      <c r="V480" t="s">
        <v>0</v>
      </c>
    </row>
    <row r="481" spans="1:22" x14ac:dyDescent="0.25">
      <c r="A481" t="s">
        <v>1315</v>
      </c>
      <c r="B481">
        <v>2017</v>
      </c>
      <c r="C481" t="s">
        <v>333</v>
      </c>
      <c r="D481" t="s">
        <v>28</v>
      </c>
      <c r="E481" t="s">
        <v>86</v>
      </c>
      <c r="F481" t="s">
        <v>112</v>
      </c>
      <c r="G481" t="s">
        <v>135</v>
      </c>
      <c r="H481" t="s">
        <v>85</v>
      </c>
      <c r="I481" t="s">
        <v>90</v>
      </c>
      <c r="J481" t="s">
        <v>96</v>
      </c>
      <c r="K481">
        <v>0</v>
      </c>
      <c r="M481">
        <v>0.06</v>
      </c>
      <c r="N481" t="s">
        <v>297</v>
      </c>
      <c r="P481">
        <v>45882</v>
      </c>
      <c r="Q481">
        <v>2.89</v>
      </c>
      <c r="R481">
        <v>0.79</v>
      </c>
      <c r="S481" t="b">
        <v>0</v>
      </c>
      <c r="T481">
        <v>2</v>
      </c>
      <c r="U481">
        <v>1</v>
      </c>
      <c r="V481" t="s">
        <v>0</v>
      </c>
    </row>
    <row r="482" spans="1:22" x14ac:dyDescent="0.25">
      <c r="A482" t="s">
        <v>1314</v>
      </c>
      <c r="B482">
        <v>2017</v>
      </c>
      <c r="C482" t="s">
        <v>164</v>
      </c>
      <c r="D482" t="s">
        <v>8</v>
      </c>
      <c r="E482" t="s">
        <v>50</v>
      </c>
      <c r="F482" t="s">
        <v>103</v>
      </c>
      <c r="G482" t="s">
        <v>62</v>
      </c>
      <c r="H482" t="s">
        <v>179</v>
      </c>
      <c r="I482" t="s">
        <v>3</v>
      </c>
      <c r="J482" t="s">
        <v>96</v>
      </c>
      <c r="K482">
        <v>0</v>
      </c>
      <c r="M482">
        <v>0.14000000000000001</v>
      </c>
      <c r="N482" t="s">
        <v>1313</v>
      </c>
      <c r="P482">
        <v>25212</v>
      </c>
      <c r="Q482">
        <v>-1.87</v>
      </c>
      <c r="R482">
        <v>0.75</v>
      </c>
      <c r="S482" t="b">
        <v>0</v>
      </c>
      <c r="T482">
        <v>2</v>
      </c>
      <c r="U482">
        <v>0</v>
      </c>
      <c r="V482" t="s">
        <v>0</v>
      </c>
    </row>
    <row r="483" spans="1:22" x14ac:dyDescent="0.25">
      <c r="A483" t="s">
        <v>1312</v>
      </c>
      <c r="B483">
        <v>2017</v>
      </c>
      <c r="C483" t="s">
        <v>333</v>
      </c>
      <c r="D483" t="s">
        <v>28</v>
      </c>
      <c r="E483" t="s">
        <v>182</v>
      </c>
      <c r="F483" t="s">
        <v>63</v>
      </c>
      <c r="G483" t="s">
        <v>16</v>
      </c>
      <c r="H483" t="s">
        <v>15</v>
      </c>
      <c r="I483" t="s">
        <v>68</v>
      </c>
      <c r="J483" t="s">
        <v>79</v>
      </c>
      <c r="K483">
        <v>0</v>
      </c>
      <c r="M483">
        <v>0.03</v>
      </c>
      <c r="N483" t="s">
        <v>1311</v>
      </c>
      <c r="P483">
        <v>48609</v>
      </c>
      <c r="Q483">
        <v>-4.74</v>
      </c>
      <c r="R483">
        <v>0.67</v>
      </c>
      <c r="S483" t="b">
        <v>0</v>
      </c>
      <c r="T483">
        <v>1</v>
      </c>
      <c r="U483">
        <v>19</v>
      </c>
      <c r="V483" t="s">
        <v>0</v>
      </c>
    </row>
    <row r="484" spans="1:22" x14ac:dyDescent="0.25">
      <c r="A484" t="s">
        <v>1310</v>
      </c>
      <c r="B484">
        <v>2017</v>
      </c>
      <c r="C484" t="s">
        <v>44</v>
      </c>
      <c r="D484" t="s">
        <v>43</v>
      </c>
      <c r="E484" t="s">
        <v>42</v>
      </c>
      <c r="F484" t="s">
        <v>112</v>
      </c>
      <c r="G484" t="s">
        <v>135</v>
      </c>
      <c r="H484" t="s">
        <v>4</v>
      </c>
      <c r="I484" t="s">
        <v>40</v>
      </c>
      <c r="J484" t="s">
        <v>2</v>
      </c>
      <c r="K484">
        <v>1</v>
      </c>
      <c r="L484" t="s">
        <v>1308</v>
      </c>
      <c r="M484">
        <v>0.45</v>
      </c>
      <c r="N484" t="s">
        <v>1309</v>
      </c>
      <c r="O484" t="s">
        <v>1308</v>
      </c>
      <c r="P484">
        <v>98699</v>
      </c>
      <c r="Q484">
        <v>2.0099999999999998</v>
      </c>
      <c r="R484">
        <v>0.31</v>
      </c>
      <c r="S484" t="b">
        <v>1</v>
      </c>
      <c r="T484">
        <v>3</v>
      </c>
      <c r="U484">
        <v>13</v>
      </c>
      <c r="V484" t="s">
        <v>0</v>
      </c>
    </row>
    <row r="485" spans="1:22" x14ac:dyDescent="0.25">
      <c r="A485" t="s">
        <v>1307</v>
      </c>
      <c r="B485">
        <v>2017</v>
      </c>
      <c r="C485" t="s">
        <v>348</v>
      </c>
      <c r="D485" t="s">
        <v>64</v>
      </c>
      <c r="E485" t="s">
        <v>219</v>
      </c>
      <c r="F485" t="s">
        <v>69</v>
      </c>
      <c r="G485" t="s">
        <v>62</v>
      </c>
      <c r="H485" t="s">
        <v>85</v>
      </c>
      <c r="I485" t="s">
        <v>14</v>
      </c>
      <c r="J485" t="s">
        <v>13</v>
      </c>
      <c r="K485">
        <v>0</v>
      </c>
      <c r="M485">
        <v>0.09</v>
      </c>
      <c r="N485" t="s">
        <v>1306</v>
      </c>
      <c r="P485">
        <v>73022</v>
      </c>
      <c r="Q485">
        <v>2.5</v>
      </c>
      <c r="R485">
        <v>0.83</v>
      </c>
      <c r="S485" t="b">
        <v>0</v>
      </c>
      <c r="T485">
        <v>2</v>
      </c>
      <c r="U485">
        <v>6</v>
      </c>
      <c r="V485" t="s">
        <v>0</v>
      </c>
    </row>
    <row r="486" spans="1:22" x14ac:dyDescent="0.25">
      <c r="A486" t="s">
        <v>1305</v>
      </c>
      <c r="B486">
        <v>2017</v>
      </c>
      <c r="C486" t="s">
        <v>176</v>
      </c>
      <c r="D486" t="s">
        <v>64</v>
      </c>
      <c r="E486" t="s">
        <v>17</v>
      </c>
      <c r="F486" t="s">
        <v>41</v>
      </c>
      <c r="G486" t="s">
        <v>16</v>
      </c>
      <c r="H486" t="s">
        <v>15</v>
      </c>
      <c r="I486" t="s">
        <v>24</v>
      </c>
      <c r="J486" t="s">
        <v>96</v>
      </c>
      <c r="K486">
        <v>1</v>
      </c>
      <c r="L486" t="s">
        <v>1015</v>
      </c>
      <c r="M486">
        <v>0.68</v>
      </c>
      <c r="N486" t="s">
        <v>1304</v>
      </c>
      <c r="O486" t="s">
        <v>1015</v>
      </c>
      <c r="P486">
        <v>112281</v>
      </c>
      <c r="Q486">
        <v>2.56</v>
      </c>
      <c r="R486">
        <v>0.3</v>
      </c>
      <c r="S486" t="b">
        <v>1</v>
      </c>
      <c r="T486">
        <v>1</v>
      </c>
      <c r="U486">
        <v>7</v>
      </c>
      <c r="V486" t="s">
        <v>0</v>
      </c>
    </row>
    <row r="487" spans="1:22" x14ac:dyDescent="0.25">
      <c r="A487" t="s">
        <v>1303</v>
      </c>
      <c r="B487">
        <v>2017</v>
      </c>
      <c r="C487" t="s">
        <v>70</v>
      </c>
      <c r="D487" t="s">
        <v>18</v>
      </c>
      <c r="E487" t="s">
        <v>36</v>
      </c>
      <c r="F487" t="s">
        <v>35</v>
      </c>
      <c r="G487" t="s">
        <v>62</v>
      </c>
      <c r="H487" t="s">
        <v>102</v>
      </c>
      <c r="I487" t="s">
        <v>107</v>
      </c>
      <c r="J487" t="s">
        <v>96</v>
      </c>
      <c r="K487">
        <v>0</v>
      </c>
      <c r="M487">
        <v>0.12</v>
      </c>
      <c r="N487" t="s">
        <v>1302</v>
      </c>
      <c r="P487">
        <v>65676</v>
      </c>
      <c r="Q487">
        <v>-0.28000000000000003</v>
      </c>
      <c r="R487">
        <v>0.65</v>
      </c>
      <c r="S487" t="b">
        <v>0</v>
      </c>
      <c r="T487">
        <v>2</v>
      </c>
      <c r="U487">
        <v>9</v>
      </c>
      <c r="V487" t="s">
        <v>0</v>
      </c>
    </row>
    <row r="488" spans="1:22" x14ac:dyDescent="0.25">
      <c r="A488" t="s">
        <v>1301</v>
      </c>
      <c r="B488">
        <v>2017</v>
      </c>
      <c r="C488" t="s">
        <v>117</v>
      </c>
      <c r="D488" t="s">
        <v>91</v>
      </c>
      <c r="E488" t="s">
        <v>147</v>
      </c>
      <c r="F488" t="s">
        <v>63</v>
      </c>
      <c r="G488" t="s">
        <v>25</v>
      </c>
      <c r="H488" t="s">
        <v>179</v>
      </c>
      <c r="I488" t="s">
        <v>74</v>
      </c>
      <c r="J488" t="s">
        <v>96</v>
      </c>
      <c r="K488">
        <v>0</v>
      </c>
      <c r="M488">
        <v>0.05</v>
      </c>
      <c r="N488" t="s">
        <v>879</v>
      </c>
      <c r="P488">
        <v>59495</v>
      </c>
      <c r="Q488">
        <v>2.0099999999999998</v>
      </c>
      <c r="R488">
        <v>0.87</v>
      </c>
      <c r="S488" t="b">
        <v>0</v>
      </c>
      <c r="T488">
        <v>3</v>
      </c>
      <c r="U488">
        <v>13</v>
      </c>
      <c r="V488" t="s">
        <v>0</v>
      </c>
    </row>
    <row r="489" spans="1:22" x14ac:dyDescent="0.25">
      <c r="A489" t="s">
        <v>1300</v>
      </c>
      <c r="B489">
        <v>2017</v>
      </c>
      <c r="C489" t="s">
        <v>215</v>
      </c>
      <c r="D489" t="s">
        <v>91</v>
      </c>
      <c r="E489" t="s">
        <v>50</v>
      </c>
      <c r="F489" t="s">
        <v>69</v>
      </c>
      <c r="G489" t="s">
        <v>135</v>
      </c>
      <c r="H489" t="s">
        <v>34</v>
      </c>
      <c r="I489" t="s">
        <v>68</v>
      </c>
      <c r="J489" t="s">
        <v>2</v>
      </c>
      <c r="K489">
        <v>0</v>
      </c>
      <c r="M489">
        <v>0.11</v>
      </c>
      <c r="N489" t="s">
        <v>1299</v>
      </c>
      <c r="P489">
        <v>56266</v>
      </c>
      <c r="Q489">
        <v>0.53</v>
      </c>
      <c r="R489">
        <v>0.85</v>
      </c>
      <c r="S489" t="b">
        <v>0</v>
      </c>
      <c r="T489">
        <v>3</v>
      </c>
      <c r="U489">
        <v>19</v>
      </c>
      <c r="V489" t="s">
        <v>0</v>
      </c>
    </row>
    <row r="490" spans="1:22" x14ac:dyDescent="0.25">
      <c r="A490" t="s">
        <v>1298</v>
      </c>
      <c r="B490">
        <v>2017</v>
      </c>
      <c r="C490" t="s">
        <v>161</v>
      </c>
      <c r="D490" t="s">
        <v>8</v>
      </c>
      <c r="E490" t="s">
        <v>121</v>
      </c>
      <c r="F490" t="s">
        <v>136</v>
      </c>
      <c r="G490" t="s">
        <v>135</v>
      </c>
      <c r="H490" t="s">
        <v>49</v>
      </c>
      <c r="I490" t="s">
        <v>74</v>
      </c>
      <c r="J490" t="s">
        <v>2</v>
      </c>
      <c r="K490">
        <v>1</v>
      </c>
      <c r="L490" t="s">
        <v>110</v>
      </c>
      <c r="M490">
        <v>0.44</v>
      </c>
      <c r="N490" t="s">
        <v>1297</v>
      </c>
      <c r="O490" t="s">
        <v>110</v>
      </c>
      <c r="P490">
        <v>38270</v>
      </c>
      <c r="Q490">
        <v>-0.47</v>
      </c>
      <c r="R490">
        <v>0.19</v>
      </c>
      <c r="S490" t="b">
        <v>1</v>
      </c>
      <c r="T490">
        <v>1</v>
      </c>
      <c r="U490">
        <v>18</v>
      </c>
      <c r="V490" t="s">
        <v>0</v>
      </c>
    </row>
    <row r="491" spans="1:22" x14ac:dyDescent="0.25">
      <c r="A491" t="s">
        <v>1296</v>
      </c>
      <c r="B491">
        <v>2017</v>
      </c>
      <c r="C491" t="s">
        <v>215</v>
      </c>
      <c r="D491" t="s">
        <v>91</v>
      </c>
      <c r="E491" t="s">
        <v>121</v>
      </c>
      <c r="F491" t="s">
        <v>108</v>
      </c>
      <c r="G491" t="s">
        <v>16</v>
      </c>
      <c r="H491" t="s">
        <v>102</v>
      </c>
      <c r="I491" t="s">
        <v>14</v>
      </c>
      <c r="J491" t="s">
        <v>23</v>
      </c>
      <c r="K491">
        <v>0</v>
      </c>
      <c r="M491">
        <v>0.19</v>
      </c>
      <c r="N491" t="s">
        <v>1295</v>
      </c>
      <c r="P491">
        <v>54955</v>
      </c>
      <c r="Q491">
        <v>0.69</v>
      </c>
      <c r="R491">
        <v>0.73</v>
      </c>
      <c r="S491" t="b">
        <v>0</v>
      </c>
      <c r="T491">
        <v>2</v>
      </c>
      <c r="U491">
        <v>15</v>
      </c>
      <c r="V491" t="s">
        <v>0</v>
      </c>
    </row>
    <row r="492" spans="1:22" x14ac:dyDescent="0.25">
      <c r="A492" t="s">
        <v>1294</v>
      </c>
      <c r="B492">
        <v>2017</v>
      </c>
      <c r="C492" t="s">
        <v>220</v>
      </c>
      <c r="D492" t="s">
        <v>91</v>
      </c>
      <c r="E492" t="s">
        <v>36</v>
      </c>
      <c r="F492" t="s">
        <v>55</v>
      </c>
      <c r="G492" t="s">
        <v>5</v>
      </c>
      <c r="H492" t="s">
        <v>49</v>
      </c>
      <c r="I492" t="s">
        <v>74</v>
      </c>
      <c r="J492" t="s">
        <v>96</v>
      </c>
      <c r="K492">
        <v>1</v>
      </c>
      <c r="L492" t="s">
        <v>1292</v>
      </c>
      <c r="M492">
        <v>0.51</v>
      </c>
      <c r="N492" t="s">
        <v>1293</v>
      </c>
      <c r="O492" t="s">
        <v>1292</v>
      </c>
      <c r="P492">
        <v>78422</v>
      </c>
      <c r="Q492">
        <v>-3.72</v>
      </c>
      <c r="R492">
        <v>0.16</v>
      </c>
      <c r="S492" t="b">
        <v>1</v>
      </c>
      <c r="T492">
        <v>3</v>
      </c>
      <c r="U492">
        <v>2</v>
      </c>
      <c r="V492" t="s">
        <v>0</v>
      </c>
    </row>
    <row r="493" spans="1:22" x14ac:dyDescent="0.25">
      <c r="A493" t="s">
        <v>1291</v>
      </c>
      <c r="B493">
        <v>2017</v>
      </c>
      <c r="C493" t="s">
        <v>287</v>
      </c>
      <c r="D493" t="s">
        <v>43</v>
      </c>
      <c r="E493" t="s">
        <v>56</v>
      </c>
      <c r="F493" t="s">
        <v>112</v>
      </c>
      <c r="G493" t="s">
        <v>25</v>
      </c>
      <c r="H493" t="s">
        <v>85</v>
      </c>
      <c r="I493" t="s">
        <v>74</v>
      </c>
      <c r="J493" t="s">
        <v>23</v>
      </c>
      <c r="K493">
        <v>0</v>
      </c>
      <c r="M493">
        <v>0.14000000000000001</v>
      </c>
      <c r="N493" t="s">
        <v>1290</v>
      </c>
      <c r="P493">
        <v>66674</v>
      </c>
      <c r="Q493">
        <v>-4.59</v>
      </c>
      <c r="R493">
        <v>0.73</v>
      </c>
      <c r="S493" t="b">
        <v>0</v>
      </c>
      <c r="T493">
        <v>1</v>
      </c>
      <c r="U493">
        <v>9</v>
      </c>
      <c r="V493" t="s">
        <v>0</v>
      </c>
    </row>
    <row r="494" spans="1:22" x14ac:dyDescent="0.25">
      <c r="A494" t="s">
        <v>1289</v>
      </c>
      <c r="B494">
        <v>2017</v>
      </c>
      <c r="C494" t="s">
        <v>58</v>
      </c>
      <c r="D494" t="s">
        <v>57</v>
      </c>
      <c r="E494" t="s">
        <v>36</v>
      </c>
      <c r="F494" t="s">
        <v>108</v>
      </c>
      <c r="G494" t="s">
        <v>25</v>
      </c>
      <c r="H494" t="s">
        <v>179</v>
      </c>
      <c r="I494" t="s">
        <v>90</v>
      </c>
      <c r="J494" t="s">
        <v>23</v>
      </c>
      <c r="K494">
        <v>0</v>
      </c>
      <c r="M494">
        <v>0.08</v>
      </c>
      <c r="N494" t="s">
        <v>1288</v>
      </c>
      <c r="P494">
        <v>75736</v>
      </c>
      <c r="Q494">
        <v>-2.35</v>
      </c>
      <c r="R494">
        <v>0.73</v>
      </c>
      <c r="S494" t="b">
        <v>0</v>
      </c>
      <c r="T494">
        <v>2</v>
      </c>
      <c r="U494">
        <v>10</v>
      </c>
      <c r="V494" t="s">
        <v>0</v>
      </c>
    </row>
    <row r="495" spans="1:22" x14ac:dyDescent="0.25">
      <c r="A495" t="s">
        <v>1287</v>
      </c>
      <c r="B495">
        <v>2017</v>
      </c>
      <c r="C495" t="s">
        <v>51</v>
      </c>
      <c r="D495" t="s">
        <v>18</v>
      </c>
      <c r="E495" t="s">
        <v>50</v>
      </c>
      <c r="F495" t="s">
        <v>69</v>
      </c>
      <c r="G495" t="s">
        <v>25</v>
      </c>
      <c r="H495" t="s">
        <v>141</v>
      </c>
      <c r="I495" t="s">
        <v>107</v>
      </c>
      <c r="J495" t="s">
        <v>73</v>
      </c>
      <c r="K495">
        <v>0</v>
      </c>
      <c r="M495">
        <v>0.04</v>
      </c>
      <c r="N495" t="s">
        <v>1286</v>
      </c>
      <c r="P495">
        <v>62844</v>
      </c>
      <c r="Q495">
        <v>-0.89</v>
      </c>
      <c r="R495">
        <v>0.81</v>
      </c>
      <c r="S495" t="b">
        <v>0</v>
      </c>
      <c r="T495">
        <v>1</v>
      </c>
      <c r="U495">
        <v>0</v>
      </c>
      <c r="V495" t="s">
        <v>0</v>
      </c>
    </row>
    <row r="496" spans="1:22" x14ac:dyDescent="0.25">
      <c r="A496" t="s">
        <v>1285</v>
      </c>
      <c r="B496">
        <v>2017</v>
      </c>
      <c r="C496" t="s">
        <v>215</v>
      </c>
      <c r="D496" t="s">
        <v>91</v>
      </c>
      <c r="E496" t="s">
        <v>50</v>
      </c>
      <c r="F496" t="s">
        <v>35</v>
      </c>
      <c r="G496" t="s">
        <v>16</v>
      </c>
      <c r="H496" t="s">
        <v>102</v>
      </c>
      <c r="I496" t="s">
        <v>68</v>
      </c>
      <c r="J496" t="s">
        <v>23</v>
      </c>
      <c r="K496">
        <v>0</v>
      </c>
      <c r="M496">
        <v>0.2</v>
      </c>
      <c r="N496" t="s">
        <v>1284</v>
      </c>
      <c r="P496">
        <v>61234</v>
      </c>
      <c r="Q496">
        <v>4.6399999999999997</v>
      </c>
      <c r="R496">
        <v>0.81</v>
      </c>
      <c r="S496" t="b">
        <v>0</v>
      </c>
      <c r="T496">
        <v>1</v>
      </c>
      <c r="U496">
        <v>7</v>
      </c>
      <c r="V496" t="s">
        <v>0</v>
      </c>
    </row>
    <row r="497" spans="1:22" x14ac:dyDescent="0.25">
      <c r="A497" t="s">
        <v>1283</v>
      </c>
      <c r="B497">
        <v>2017</v>
      </c>
      <c r="C497" t="s">
        <v>92</v>
      </c>
      <c r="D497" t="s">
        <v>91</v>
      </c>
      <c r="E497" t="s">
        <v>17</v>
      </c>
      <c r="F497" t="s">
        <v>136</v>
      </c>
      <c r="G497" t="s">
        <v>62</v>
      </c>
      <c r="H497" t="s">
        <v>141</v>
      </c>
      <c r="I497" t="s">
        <v>97</v>
      </c>
      <c r="J497" t="s">
        <v>23</v>
      </c>
      <c r="K497">
        <v>0</v>
      </c>
      <c r="M497">
        <v>0.13</v>
      </c>
      <c r="N497" t="s">
        <v>1282</v>
      </c>
      <c r="P497">
        <v>63061</v>
      </c>
      <c r="Q497">
        <v>-4.1500000000000004</v>
      </c>
      <c r="R497">
        <v>0.75</v>
      </c>
      <c r="S497" t="b">
        <v>0</v>
      </c>
      <c r="T497">
        <v>3</v>
      </c>
      <c r="U497">
        <v>10</v>
      </c>
      <c r="V497" t="s">
        <v>0</v>
      </c>
    </row>
    <row r="498" spans="1:22" x14ac:dyDescent="0.25">
      <c r="A498" t="s">
        <v>1281</v>
      </c>
      <c r="B498">
        <v>2017</v>
      </c>
      <c r="C498" t="s">
        <v>236</v>
      </c>
      <c r="D498" t="s">
        <v>131</v>
      </c>
      <c r="E498" t="s">
        <v>182</v>
      </c>
      <c r="F498" t="s">
        <v>112</v>
      </c>
      <c r="G498" t="s">
        <v>135</v>
      </c>
      <c r="H498" t="s">
        <v>179</v>
      </c>
      <c r="I498" t="s">
        <v>68</v>
      </c>
      <c r="J498" t="s">
        <v>23</v>
      </c>
      <c r="K498">
        <v>0</v>
      </c>
      <c r="M498">
        <v>0.01</v>
      </c>
      <c r="N498" t="s">
        <v>1280</v>
      </c>
      <c r="P498">
        <v>40242</v>
      </c>
      <c r="Q498">
        <v>4.79</v>
      </c>
      <c r="R498">
        <v>0.73</v>
      </c>
      <c r="S498" t="b">
        <v>0</v>
      </c>
      <c r="T498">
        <v>2</v>
      </c>
      <c r="U498">
        <v>5</v>
      </c>
      <c r="V498" t="s">
        <v>0</v>
      </c>
    </row>
    <row r="499" spans="1:22" x14ac:dyDescent="0.25">
      <c r="A499" t="s">
        <v>1279</v>
      </c>
      <c r="B499">
        <v>2017</v>
      </c>
      <c r="C499" t="s">
        <v>348</v>
      </c>
      <c r="D499" t="s">
        <v>64</v>
      </c>
      <c r="E499" t="s">
        <v>7</v>
      </c>
      <c r="F499" t="s">
        <v>124</v>
      </c>
      <c r="G499" t="s">
        <v>25</v>
      </c>
      <c r="H499" t="s">
        <v>15</v>
      </c>
      <c r="I499" t="s">
        <v>90</v>
      </c>
      <c r="J499" t="s">
        <v>96</v>
      </c>
      <c r="K499">
        <v>0</v>
      </c>
      <c r="M499">
        <v>0.14000000000000001</v>
      </c>
      <c r="N499" t="s">
        <v>1278</v>
      </c>
      <c r="P499">
        <v>90205</v>
      </c>
      <c r="Q499">
        <v>4.5599999999999996</v>
      </c>
      <c r="R499">
        <v>0.8</v>
      </c>
      <c r="S499" t="b">
        <v>0</v>
      </c>
      <c r="T499">
        <v>2</v>
      </c>
      <c r="U499">
        <v>12</v>
      </c>
      <c r="V499" t="s">
        <v>0</v>
      </c>
    </row>
    <row r="500" spans="1:22" x14ac:dyDescent="0.25">
      <c r="A500" t="s">
        <v>1277</v>
      </c>
      <c r="B500">
        <v>2017</v>
      </c>
      <c r="C500" t="s">
        <v>70</v>
      </c>
      <c r="D500" t="s">
        <v>18</v>
      </c>
      <c r="E500" t="s">
        <v>219</v>
      </c>
      <c r="F500" t="s">
        <v>41</v>
      </c>
      <c r="G500" t="s">
        <v>25</v>
      </c>
      <c r="H500" t="s">
        <v>4</v>
      </c>
      <c r="I500" t="s">
        <v>107</v>
      </c>
      <c r="J500" t="s">
        <v>23</v>
      </c>
      <c r="K500">
        <v>0</v>
      </c>
      <c r="M500">
        <v>0.06</v>
      </c>
      <c r="N500" t="s">
        <v>1276</v>
      </c>
      <c r="P500">
        <v>70110</v>
      </c>
      <c r="Q500">
        <v>4.58</v>
      </c>
      <c r="R500">
        <v>0.88</v>
      </c>
      <c r="S500" t="b">
        <v>0</v>
      </c>
      <c r="T500">
        <v>1</v>
      </c>
      <c r="U500">
        <v>12</v>
      </c>
      <c r="V500" t="s">
        <v>0</v>
      </c>
    </row>
    <row r="501" spans="1:22" x14ac:dyDescent="0.25">
      <c r="A501" t="s">
        <v>1275</v>
      </c>
      <c r="B501">
        <v>2017</v>
      </c>
      <c r="C501" t="s">
        <v>176</v>
      </c>
      <c r="D501" t="s">
        <v>64</v>
      </c>
      <c r="E501" t="s">
        <v>147</v>
      </c>
      <c r="F501" t="s">
        <v>41</v>
      </c>
      <c r="G501" t="s">
        <v>135</v>
      </c>
      <c r="H501" t="s">
        <v>61</v>
      </c>
      <c r="I501" t="s">
        <v>40</v>
      </c>
      <c r="J501" t="s">
        <v>13</v>
      </c>
      <c r="K501">
        <v>0</v>
      </c>
      <c r="M501">
        <v>0.18</v>
      </c>
      <c r="N501" t="s">
        <v>1274</v>
      </c>
      <c r="P501">
        <v>75589</v>
      </c>
      <c r="Q501">
        <v>-1.3</v>
      </c>
      <c r="R501">
        <v>0.76</v>
      </c>
      <c r="S501" t="b">
        <v>0</v>
      </c>
      <c r="T501">
        <v>2</v>
      </c>
      <c r="U501">
        <v>5</v>
      </c>
      <c r="V501" t="s">
        <v>0</v>
      </c>
    </row>
    <row r="502" spans="1:22" x14ac:dyDescent="0.25">
      <c r="A502" t="s">
        <v>1273</v>
      </c>
      <c r="B502">
        <v>2017</v>
      </c>
      <c r="C502" t="s">
        <v>164</v>
      </c>
      <c r="D502" t="s">
        <v>8</v>
      </c>
      <c r="E502" t="s">
        <v>147</v>
      </c>
      <c r="F502" t="s">
        <v>41</v>
      </c>
      <c r="G502" t="s">
        <v>135</v>
      </c>
      <c r="H502" t="s">
        <v>34</v>
      </c>
      <c r="I502" t="s">
        <v>97</v>
      </c>
      <c r="J502" t="s">
        <v>13</v>
      </c>
      <c r="K502">
        <v>0</v>
      </c>
      <c r="M502">
        <v>0.04</v>
      </c>
      <c r="N502" t="s">
        <v>1272</v>
      </c>
      <c r="P502">
        <v>26488</v>
      </c>
      <c r="Q502">
        <v>3.09</v>
      </c>
      <c r="R502">
        <v>0.67</v>
      </c>
      <c r="S502" t="b">
        <v>0</v>
      </c>
      <c r="T502">
        <v>2</v>
      </c>
      <c r="U502">
        <v>18</v>
      </c>
      <c r="V502" t="s">
        <v>0</v>
      </c>
    </row>
    <row r="503" spans="1:22" x14ac:dyDescent="0.25">
      <c r="A503" t="s">
        <v>1271</v>
      </c>
      <c r="B503">
        <v>2017</v>
      </c>
      <c r="C503" t="s">
        <v>378</v>
      </c>
      <c r="D503" t="s">
        <v>43</v>
      </c>
      <c r="E503" t="s">
        <v>130</v>
      </c>
      <c r="F503" t="s">
        <v>63</v>
      </c>
      <c r="G503" t="s">
        <v>135</v>
      </c>
      <c r="H503" t="s">
        <v>179</v>
      </c>
      <c r="I503" t="s">
        <v>74</v>
      </c>
      <c r="J503" t="s">
        <v>2</v>
      </c>
      <c r="K503">
        <v>0</v>
      </c>
      <c r="M503">
        <v>0.19</v>
      </c>
      <c r="N503" t="s">
        <v>1270</v>
      </c>
      <c r="P503">
        <v>69381</v>
      </c>
      <c r="Q503">
        <v>3.93</v>
      </c>
      <c r="R503">
        <v>0.8</v>
      </c>
      <c r="S503" t="b">
        <v>0</v>
      </c>
      <c r="T503">
        <v>2</v>
      </c>
      <c r="U503">
        <v>7</v>
      </c>
      <c r="V503" t="s">
        <v>0</v>
      </c>
    </row>
    <row r="504" spans="1:22" x14ac:dyDescent="0.25">
      <c r="A504" t="s">
        <v>1269</v>
      </c>
      <c r="B504">
        <v>2017</v>
      </c>
      <c r="C504" t="s">
        <v>92</v>
      </c>
      <c r="D504" t="s">
        <v>91</v>
      </c>
      <c r="E504" t="s">
        <v>116</v>
      </c>
      <c r="F504" t="s">
        <v>35</v>
      </c>
      <c r="G504" t="s">
        <v>5</v>
      </c>
      <c r="H504" t="s">
        <v>102</v>
      </c>
      <c r="I504" t="s">
        <v>24</v>
      </c>
      <c r="J504" t="s">
        <v>96</v>
      </c>
      <c r="K504">
        <v>0</v>
      </c>
      <c r="M504">
        <v>0.05</v>
      </c>
      <c r="N504" t="s">
        <v>1268</v>
      </c>
      <c r="P504">
        <v>61568</v>
      </c>
      <c r="Q504">
        <v>-1.95</v>
      </c>
      <c r="R504">
        <v>0.64</v>
      </c>
      <c r="S504" t="b">
        <v>0</v>
      </c>
      <c r="T504">
        <v>2</v>
      </c>
      <c r="U504">
        <v>1</v>
      </c>
      <c r="V504" t="s">
        <v>0</v>
      </c>
    </row>
    <row r="505" spans="1:22" x14ac:dyDescent="0.25">
      <c r="A505" t="s">
        <v>1267</v>
      </c>
      <c r="B505">
        <v>2017</v>
      </c>
      <c r="C505" t="s">
        <v>167</v>
      </c>
      <c r="D505" t="s">
        <v>43</v>
      </c>
      <c r="E505" t="s">
        <v>42</v>
      </c>
      <c r="F505" t="s">
        <v>75</v>
      </c>
      <c r="G505" t="s">
        <v>25</v>
      </c>
      <c r="H505" t="s">
        <v>102</v>
      </c>
      <c r="I505" t="s">
        <v>68</v>
      </c>
      <c r="J505" t="s">
        <v>2</v>
      </c>
      <c r="K505">
        <v>1</v>
      </c>
      <c r="L505" t="s">
        <v>719</v>
      </c>
      <c r="M505">
        <v>0.91</v>
      </c>
      <c r="N505" t="s">
        <v>1266</v>
      </c>
      <c r="O505" t="s">
        <v>719</v>
      </c>
      <c r="P505">
        <v>116530</v>
      </c>
      <c r="Q505">
        <v>1.69</v>
      </c>
      <c r="R505">
        <v>0.26</v>
      </c>
      <c r="S505" t="b">
        <v>1</v>
      </c>
      <c r="T505">
        <v>1</v>
      </c>
      <c r="U505">
        <v>5</v>
      </c>
      <c r="V505" t="s">
        <v>0</v>
      </c>
    </row>
    <row r="506" spans="1:22" x14ac:dyDescent="0.25">
      <c r="A506" t="s">
        <v>1265</v>
      </c>
      <c r="B506">
        <v>2017</v>
      </c>
      <c r="C506" t="s">
        <v>152</v>
      </c>
      <c r="D506" t="s">
        <v>28</v>
      </c>
      <c r="E506" t="s">
        <v>42</v>
      </c>
      <c r="F506" t="s">
        <v>115</v>
      </c>
      <c r="G506" t="s">
        <v>62</v>
      </c>
      <c r="H506" t="s">
        <v>141</v>
      </c>
      <c r="I506" t="s">
        <v>74</v>
      </c>
      <c r="J506" t="s">
        <v>23</v>
      </c>
      <c r="K506">
        <v>0</v>
      </c>
      <c r="M506">
        <v>0.03</v>
      </c>
      <c r="N506" t="s">
        <v>1264</v>
      </c>
      <c r="P506">
        <v>36366</v>
      </c>
      <c r="Q506">
        <v>-2.29</v>
      </c>
      <c r="R506">
        <v>0.88</v>
      </c>
      <c r="S506" t="b">
        <v>0</v>
      </c>
      <c r="T506">
        <v>3</v>
      </c>
      <c r="U506">
        <v>5</v>
      </c>
      <c r="V506" t="s">
        <v>0</v>
      </c>
    </row>
    <row r="507" spans="1:22" x14ac:dyDescent="0.25">
      <c r="A507" t="s">
        <v>1263</v>
      </c>
      <c r="B507">
        <v>2017</v>
      </c>
      <c r="C507" t="s">
        <v>164</v>
      </c>
      <c r="D507" t="s">
        <v>8</v>
      </c>
      <c r="E507" t="s">
        <v>42</v>
      </c>
      <c r="F507" t="s">
        <v>41</v>
      </c>
      <c r="G507" t="s">
        <v>5</v>
      </c>
      <c r="H507" t="s">
        <v>141</v>
      </c>
      <c r="I507" t="s">
        <v>97</v>
      </c>
      <c r="J507" t="s">
        <v>23</v>
      </c>
      <c r="K507">
        <v>1</v>
      </c>
      <c r="L507" t="s">
        <v>1261</v>
      </c>
      <c r="M507">
        <v>0.88</v>
      </c>
      <c r="N507" t="s">
        <v>1262</v>
      </c>
      <c r="O507" t="s">
        <v>1261</v>
      </c>
      <c r="P507">
        <v>29449</v>
      </c>
      <c r="Q507">
        <v>-3.44</v>
      </c>
      <c r="R507">
        <v>0.28000000000000003</v>
      </c>
      <c r="S507" t="b">
        <v>1</v>
      </c>
      <c r="T507">
        <v>1</v>
      </c>
      <c r="U507">
        <v>6</v>
      </c>
      <c r="V507" t="s">
        <v>0</v>
      </c>
    </row>
    <row r="508" spans="1:22" x14ac:dyDescent="0.25">
      <c r="A508" t="s">
        <v>1260</v>
      </c>
      <c r="B508">
        <v>2017</v>
      </c>
      <c r="C508" t="s">
        <v>348</v>
      </c>
      <c r="D508" t="s">
        <v>64</v>
      </c>
      <c r="E508" t="s">
        <v>86</v>
      </c>
      <c r="F508" t="s">
        <v>26</v>
      </c>
      <c r="G508" t="s">
        <v>62</v>
      </c>
      <c r="H508" t="s">
        <v>4</v>
      </c>
      <c r="I508" t="s">
        <v>33</v>
      </c>
      <c r="J508" t="s">
        <v>2</v>
      </c>
      <c r="K508">
        <v>0</v>
      </c>
      <c r="M508">
        <v>0.19</v>
      </c>
      <c r="N508" t="s">
        <v>1259</v>
      </c>
      <c r="P508">
        <v>87679</v>
      </c>
      <c r="Q508">
        <v>1.94</v>
      </c>
      <c r="R508">
        <v>0.65</v>
      </c>
      <c r="S508" t="b">
        <v>0</v>
      </c>
      <c r="T508">
        <v>2</v>
      </c>
      <c r="U508">
        <v>7</v>
      </c>
      <c r="V508" t="s">
        <v>0</v>
      </c>
    </row>
    <row r="509" spans="1:22" x14ac:dyDescent="0.25">
      <c r="A509" t="s">
        <v>1258</v>
      </c>
      <c r="B509">
        <v>2017</v>
      </c>
      <c r="C509" t="s">
        <v>29</v>
      </c>
      <c r="D509" t="s">
        <v>28</v>
      </c>
      <c r="E509" t="s">
        <v>219</v>
      </c>
      <c r="F509" t="s">
        <v>124</v>
      </c>
      <c r="G509" t="s">
        <v>62</v>
      </c>
      <c r="H509" t="s">
        <v>85</v>
      </c>
      <c r="I509" t="s">
        <v>97</v>
      </c>
      <c r="J509" t="s">
        <v>23</v>
      </c>
      <c r="K509">
        <v>0</v>
      </c>
      <c r="M509">
        <v>0.19</v>
      </c>
      <c r="N509" t="s">
        <v>1257</v>
      </c>
      <c r="P509">
        <v>37668</v>
      </c>
      <c r="Q509">
        <v>0.95</v>
      </c>
      <c r="R509">
        <v>0.61</v>
      </c>
      <c r="S509" t="b">
        <v>0</v>
      </c>
      <c r="T509">
        <v>1</v>
      </c>
      <c r="U509">
        <v>3</v>
      </c>
      <c r="V509" t="s">
        <v>0</v>
      </c>
    </row>
    <row r="510" spans="1:22" x14ac:dyDescent="0.25">
      <c r="A510" t="s">
        <v>1256</v>
      </c>
      <c r="B510">
        <v>2017</v>
      </c>
      <c r="C510" t="s">
        <v>164</v>
      </c>
      <c r="D510" t="s">
        <v>8</v>
      </c>
      <c r="E510" t="s">
        <v>219</v>
      </c>
      <c r="F510" t="s">
        <v>55</v>
      </c>
      <c r="G510" t="s">
        <v>62</v>
      </c>
      <c r="H510" t="s">
        <v>61</v>
      </c>
      <c r="I510" t="s">
        <v>3</v>
      </c>
      <c r="J510" t="s">
        <v>73</v>
      </c>
      <c r="K510">
        <v>0</v>
      </c>
      <c r="M510">
        <v>0.17</v>
      </c>
      <c r="N510" t="s">
        <v>1255</v>
      </c>
      <c r="P510">
        <v>26507</v>
      </c>
      <c r="Q510">
        <v>0.34</v>
      </c>
      <c r="R510">
        <v>0.69</v>
      </c>
      <c r="S510" t="b">
        <v>0</v>
      </c>
      <c r="T510">
        <v>1</v>
      </c>
      <c r="U510">
        <v>0</v>
      </c>
      <c r="V510" t="s">
        <v>0</v>
      </c>
    </row>
    <row r="511" spans="1:22" x14ac:dyDescent="0.25">
      <c r="A511" t="s">
        <v>1254</v>
      </c>
      <c r="B511">
        <v>2017</v>
      </c>
      <c r="C511" t="s">
        <v>29</v>
      </c>
      <c r="D511" t="s">
        <v>28</v>
      </c>
      <c r="E511" t="s">
        <v>182</v>
      </c>
      <c r="F511" t="s">
        <v>115</v>
      </c>
      <c r="G511" t="s">
        <v>25</v>
      </c>
      <c r="H511" t="s">
        <v>15</v>
      </c>
      <c r="I511" t="s">
        <v>40</v>
      </c>
      <c r="J511" t="s">
        <v>79</v>
      </c>
      <c r="K511">
        <v>1</v>
      </c>
      <c r="L511" t="s">
        <v>1252</v>
      </c>
      <c r="M511">
        <v>0.81</v>
      </c>
      <c r="N511" t="s">
        <v>1253</v>
      </c>
      <c r="O511" t="s">
        <v>1252</v>
      </c>
      <c r="P511">
        <v>61374</v>
      </c>
      <c r="Q511">
        <v>4.17</v>
      </c>
      <c r="R511">
        <v>0.39</v>
      </c>
      <c r="S511" t="b">
        <v>1</v>
      </c>
      <c r="T511">
        <v>3</v>
      </c>
      <c r="U511">
        <v>13</v>
      </c>
      <c r="V511" t="s">
        <v>0</v>
      </c>
    </row>
    <row r="512" spans="1:22" x14ac:dyDescent="0.25">
      <c r="A512" t="s">
        <v>1251</v>
      </c>
      <c r="B512">
        <v>2017</v>
      </c>
      <c r="C512" t="s">
        <v>157</v>
      </c>
      <c r="D512" t="s">
        <v>18</v>
      </c>
      <c r="E512" t="s">
        <v>182</v>
      </c>
      <c r="F512" t="s">
        <v>156</v>
      </c>
      <c r="G512" t="s">
        <v>16</v>
      </c>
      <c r="H512" t="s">
        <v>179</v>
      </c>
      <c r="I512" t="s">
        <v>107</v>
      </c>
      <c r="J512" t="s">
        <v>2</v>
      </c>
      <c r="K512">
        <v>0</v>
      </c>
      <c r="M512">
        <v>0.13</v>
      </c>
      <c r="N512" t="s">
        <v>1250</v>
      </c>
      <c r="P512">
        <v>71431</v>
      </c>
      <c r="Q512">
        <v>0.38</v>
      </c>
      <c r="R512">
        <v>0.61</v>
      </c>
      <c r="S512" t="b">
        <v>0</v>
      </c>
      <c r="T512">
        <v>3</v>
      </c>
      <c r="U512">
        <v>7</v>
      </c>
      <c r="V512" t="s">
        <v>0</v>
      </c>
    </row>
    <row r="513" spans="1:22" x14ac:dyDescent="0.25">
      <c r="A513" t="s">
        <v>1249</v>
      </c>
      <c r="B513">
        <v>2017</v>
      </c>
      <c r="C513" t="s">
        <v>29</v>
      </c>
      <c r="D513" t="s">
        <v>28</v>
      </c>
      <c r="E513" t="s">
        <v>147</v>
      </c>
      <c r="F513" t="s">
        <v>108</v>
      </c>
      <c r="G513" t="s">
        <v>135</v>
      </c>
      <c r="H513" t="s">
        <v>141</v>
      </c>
      <c r="I513" t="s">
        <v>24</v>
      </c>
      <c r="J513" t="s">
        <v>23</v>
      </c>
      <c r="K513">
        <v>0</v>
      </c>
      <c r="M513">
        <v>0.2</v>
      </c>
      <c r="N513" t="s">
        <v>849</v>
      </c>
      <c r="P513">
        <v>39902</v>
      </c>
      <c r="Q513">
        <v>1.46</v>
      </c>
      <c r="R513">
        <v>0.69</v>
      </c>
      <c r="S513" t="b">
        <v>0</v>
      </c>
      <c r="T513">
        <v>3</v>
      </c>
      <c r="U513">
        <v>3</v>
      </c>
      <c r="V513" t="s">
        <v>0</v>
      </c>
    </row>
    <row r="514" spans="1:22" x14ac:dyDescent="0.25">
      <c r="A514" t="s">
        <v>1248</v>
      </c>
      <c r="B514">
        <v>2017</v>
      </c>
      <c r="C514" t="s">
        <v>161</v>
      </c>
      <c r="D514" t="s">
        <v>8</v>
      </c>
      <c r="E514" t="s">
        <v>50</v>
      </c>
      <c r="F514" t="s">
        <v>26</v>
      </c>
      <c r="G514" t="s">
        <v>135</v>
      </c>
      <c r="H514" t="s">
        <v>34</v>
      </c>
      <c r="I514" t="s">
        <v>68</v>
      </c>
      <c r="J514" t="s">
        <v>73</v>
      </c>
      <c r="K514">
        <v>0</v>
      </c>
      <c r="M514">
        <v>0.03</v>
      </c>
      <c r="N514" t="s">
        <v>1247</v>
      </c>
      <c r="P514">
        <v>26073</v>
      </c>
      <c r="Q514">
        <v>-3.2</v>
      </c>
      <c r="R514">
        <v>0.86</v>
      </c>
      <c r="S514" t="b">
        <v>0</v>
      </c>
      <c r="T514">
        <v>1</v>
      </c>
      <c r="U514">
        <v>13</v>
      </c>
      <c r="V514" t="s">
        <v>0</v>
      </c>
    </row>
    <row r="515" spans="1:22" x14ac:dyDescent="0.25">
      <c r="A515" t="s">
        <v>1246</v>
      </c>
      <c r="B515">
        <v>2017</v>
      </c>
      <c r="C515" t="s">
        <v>358</v>
      </c>
      <c r="D515" t="s">
        <v>131</v>
      </c>
      <c r="E515" t="s">
        <v>219</v>
      </c>
      <c r="F515" t="s">
        <v>55</v>
      </c>
      <c r="G515" t="s">
        <v>62</v>
      </c>
      <c r="H515" t="s">
        <v>85</v>
      </c>
      <c r="I515" t="s">
        <v>107</v>
      </c>
      <c r="J515" t="s">
        <v>73</v>
      </c>
      <c r="K515">
        <v>0</v>
      </c>
      <c r="M515">
        <v>7.0000000000000007E-2</v>
      </c>
      <c r="N515" t="s">
        <v>1245</v>
      </c>
      <c r="P515">
        <v>32993</v>
      </c>
      <c r="Q515">
        <v>3.24</v>
      </c>
      <c r="R515">
        <v>0.77</v>
      </c>
      <c r="S515" t="b">
        <v>0</v>
      </c>
      <c r="T515">
        <v>3</v>
      </c>
      <c r="U515">
        <v>1</v>
      </c>
      <c r="V515" t="s">
        <v>0</v>
      </c>
    </row>
    <row r="516" spans="1:22" x14ac:dyDescent="0.25">
      <c r="A516" t="s">
        <v>1244</v>
      </c>
      <c r="B516">
        <v>2018</v>
      </c>
      <c r="C516" t="s">
        <v>29</v>
      </c>
      <c r="D516" t="s">
        <v>28</v>
      </c>
      <c r="E516" t="s">
        <v>147</v>
      </c>
      <c r="F516" t="s">
        <v>63</v>
      </c>
      <c r="G516" t="s">
        <v>135</v>
      </c>
      <c r="H516" t="s">
        <v>34</v>
      </c>
      <c r="I516" t="s">
        <v>14</v>
      </c>
      <c r="J516" t="s">
        <v>23</v>
      </c>
      <c r="K516">
        <v>1</v>
      </c>
      <c r="L516" t="s">
        <v>47</v>
      </c>
      <c r="M516">
        <v>0.81</v>
      </c>
      <c r="N516" t="s">
        <v>1243</v>
      </c>
      <c r="O516" t="s">
        <v>47</v>
      </c>
      <c r="P516">
        <v>61586</v>
      </c>
      <c r="Q516">
        <v>12.68</v>
      </c>
      <c r="R516">
        <v>0.11</v>
      </c>
      <c r="S516" t="b">
        <v>1</v>
      </c>
      <c r="T516">
        <v>1</v>
      </c>
      <c r="U516">
        <v>14</v>
      </c>
      <c r="V516" t="s">
        <v>0</v>
      </c>
    </row>
    <row r="517" spans="1:22" x14ac:dyDescent="0.25">
      <c r="A517" t="s">
        <v>1242</v>
      </c>
      <c r="B517">
        <v>2018</v>
      </c>
      <c r="C517" t="s">
        <v>413</v>
      </c>
      <c r="D517" t="s">
        <v>8</v>
      </c>
      <c r="E517" t="s">
        <v>50</v>
      </c>
      <c r="F517" t="s">
        <v>35</v>
      </c>
      <c r="G517" t="s">
        <v>5</v>
      </c>
      <c r="H517" t="s">
        <v>141</v>
      </c>
      <c r="I517" t="s">
        <v>40</v>
      </c>
      <c r="J517" t="s">
        <v>23</v>
      </c>
      <c r="K517">
        <v>1</v>
      </c>
      <c r="L517" t="s">
        <v>150</v>
      </c>
      <c r="M517">
        <v>0.75</v>
      </c>
      <c r="N517" t="s">
        <v>1241</v>
      </c>
      <c r="O517" t="s">
        <v>150</v>
      </c>
      <c r="P517">
        <v>38150</v>
      </c>
      <c r="Q517">
        <v>5.57</v>
      </c>
      <c r="R517">
        <v>0.2</v>
      </c>
      <c r="S517" t="b">
        <v>1</v>
      </c>
      <c r="T517">
        <v>3</v>
      </c>
      <c r="U517">
        <v>1</v>
      </c>
      <c r="V517" t="s">
        <v>0</v>
      </c>
    </row>
    <row r="518" spans="1:22" x14ac:dyDescent="0.25">
      <c r="A518" t="s">
        <v>1240</v>
      </c>
      <c r="B518">
        <v>2018</v>
      </c>
      <c r="C518" t="s">
        <v>19</v>
      </c>
      <c r="D518" t="s">
        <v>18</v>
      </c>
      <c r="E518" t="s">
        <v>116</v>
      </c>
      <c r="F518" t="s">
        <v>136</v>
      </c>
      <c r="G518" t="s">
        <v>16</v>
      </c>
      <c r="H518" t="s">
        <v>102</v>
      </c>
      <c r="I518" t="s">
        <v>74</v>
      </c>
      <c r="J518" t="s">
        <v>23</v>
      </c>
      <c r="K518">
        <v>1</v>
      </c>
      <c r="L518" t="s">
        <v>47</v>
      </c>
      <c r="M518">
        <v>0.85</v>
      </c>
      <c r="N518" t="s">
        <v>1239</v>
      </c>
      <c r="O518" t="s">
        <v>47</v>
      </c>
      <c r="P518">
        <v>97664</v>
      </c>
      <c r="Q518">
        <v>14.92</v>
      </c>
      <c r="R518">
        <v>0.15</v>
      </c>
      <c r="S518" t="b">
        <v>1</v>
      </c>
      <c r="T518">
        <v>2</v>
      </c>
      <c r="U518">
        <v>3</v>
      </c>
      <c r="V518" t="s">
        <v>0</v>
      </c>
    </row>
    <row r="519" spans="1:22" x14ac:dyDescent="0.25">
      <c r="A519" t="s">
        <v>1238</v>
      </c>
      <c r="B519">
        <v>2018</v>
      </c>
      <c r="C519" t="s">
        <v>176</v>
      </c>
      <c r="D519" t="s">
        <v>64</v>
      </c>
      <c r="E519" t="s">
        <v>182</v>
      </c>
      <c r="F519" t="s">
        <v>80</v>
      </c>
      <c r="G519" t="s">
        <v>62</v>
      </c>
      <c r="H519" t="s">
        <v>85</v>
      </c>
      <c r="I519" t="s">
        <v>14</v>
      </c>
      <c r="J519" t="s">
        <v>2</v>
      </c>
      <c r="K519">
        <v>0</v>
      </c>
      <c r="M519">
        <v>0.04</v>
      </c>
      <c r="N519" t="s">
        <v>1237</v>
      </c>
      <c r="P519">
        <v>77510</v>
      </c>
      <c r="Q519">
        <v>1.57</v>
      </c>
      <c r="R519">
        <v>0.62</v>
      </c>
      <c r="S519" t="b">
        <v>0</v>
      </c>
      <c r="T519">
        <v>3</v>
      </c>
      <c r="U519">
        <v>10</v>
      </c>
      <c r="V519" t="s">
        <v>0</v>
      </c>
    </row>
    <row r="520" spans="1:22" x14ac:dyDescent="0.25">
      <c r="A520" t="s">
        <v>1236</v>
      </c>
      <c r="B520">
        <v>2018</v>
      </c>
      <c r="C520" t="s">
        <v>382</v>
      </c>
      <c r="D520" t="s">
        <v>125</v>
      </c>
      <c r="E520" t="s">
        <v>130</v>
      </c>
      <c r="F520" t="s">
        <v>115</v>
      </c>
      <c r="G520" t="s">
        <v>5</v>
      </c>
      <c r="H520" t="s">
        <v>179</v>
      </c>
      <c r="I520" t="s">
        <v>74</v>
      </c>
      <c r="J520" t="s">
        <v>13</v>
      </c>
      <c r="K520">
        <v>0</v>
      </c>
      <c r="M520">
        <v>0.15</v>
      </c>
      <c r="N520" t="s">
        <v>1235</v>
      </c>
      <c r="P520">
        <v>21101</v>
      </c>
      <c r="Q520">
        <v>-2.2799999999999998</v>
      </c>
      <c r="R520">
        <v>0.62</v>
      </c>
      <c r="S520" t="b">
        <v>0</v>
      </c>
      <c r="T520">
        <v>1</v>
      </c>
      <c r="U520">
        <v>17</v>
      </c>
      <c r="V520" t="s">
        <v>0</v>
      </c>
    </row>
    <row r="521" spans="1:22" x14ac:dyDescent="0.25">
      <c r="A521" t="s">
        <v>1234</v>
      </c>
      <c r="B521">
        <v>2018</v>
      </c>
      <c r="C521" t="s">
        <v>65</v>
      </c>
      <c r="D521" t="s">
        <v>64</v>
      </c>
      <c r="E521" t="s">
        <v>36</v>
      </c>
      <c r="F521" t="s">
        <v>108</v>
      </c>
      <c r="G521" t="s">
        <v>16</v>
      </c>
      <c r="H521" t="s">
        <v>49</v>
      </c>
      <c r="I521" t="s">
        <v>74</v>
      </c>
      <c r="J521" t="s">
        <v>13</v>
      </c>
      <c r="K521">
        <v>1</v>
      </c>
      <c r="L521" t="s">
        <v>1232</v>
      </c>
      <c r="M521">
        <v>0.73</v>
      </c>
      <c r="N521" t="s">
        <v>1233</v>
      </c>
      <c r="O521" t="s">
        <v>1232</v>
      </c>
      <c r="P521">
        <v>125663</v>
      </c>
      <c r="Q521">
        <v>11.28</v>
      </c>
      <c r="R521">
        <v>0.11</v>
      </c>
      <c r="S521" t="b">
        <v>1</v>
      </c>
      <c r="T521">
        <v>2</v>
      </c>
      <c r="U521">
        <v>17</v>
      </c>
      <c r="V521" t="s">
        <v>0</v>
      </c>
    </row>
    <row r="522" spans="1:22" x14ac:dyDescent="0.25">
      <c r="A522" t="s">
        <v>1231</v>
      </c>
      <c r="B522">
        <v>2018</v>
      </c>
      <c r="C522" t="s">
        <v>148</v>
      </c>
      <c r="D522" t="s">
        <v>28</v>
      </c>
      <c r="E522" t="s">
        <v>182</v>
      </c>
      <c r="F522" t="s">
        <v>108</v>
      </c>
      <c r="G522" t="s">
        <v>135</v>
      </c>
      <c r="H522" t="s">
        <v>15</v>
      </c>
      <c r="I522" t="s">
        <v>33</v>
      </c>
      <c r="J522" t="s">
        <v>23</v>
      </c>
      <c r="K522">
        <v>1</v>
      </c>
      <c r="L522" t="s">
        <v>110</v>
      </c>
      <c r="M522">
        <v>0.63</v>
      </c>
      <c r="N522" t="s">
        <v>1230</v>
      </c>
      <c r="O522" t="s">
        <v>110</v>
      </c>
      <c r="P522">
        <v>53486</v>
      </c>
      <c r="Q522">
        <v>11.76</v>
      </c>
      <c r="R522">
        <v>0.28999999999999998</v>
      </c>
      <c r="S522" t="b">
        <v>1</v>
      </c>
      <c r="T522">
        <v>2</v>
      </c>
      <c r="U522">
        <v>6</v>
      </c>
      <c r="V522" t="s">
        <v>0</v>
      </c>
    </row>
    <row r="523" spans="1:22" x14ac:dyDescent="0.25">
      <c r="A523" t="s">
        <v>1229</v>
      </c>
      <c r="B523">
        <v>2018</v>
      </c>
      <c r="C523" t="s">
        <v>29</v>
      </c>
      <c r="D523" t="s">
        <v>28</v>
      </c>
      <c r="E523" t="s">
        <v>17</v>
      </c>
      <c r="F523" t="s">
        <v>124</v>
      </c>
      <c r="G523" t="s">
        <v>5</v>
      </c>
      <c r="H523" t="s">
        <v>34</v>
      </c>
      <c r="I523" t="s">
        <v>107</v>
      </c>
      <c r="J523" t="s">
        <v>79</v>
      </c>
      <c r="K523">
        <v>0</v>
      </c>
      <c r="M523">
        <v>0.06</v>
      </c>
      <c r="N523" t="s">
        <v>1228</v>
      </c>
      <c r="P523">
        <v>42934</v>
      </c>
      <c r="Q523">
        <v>-4</v>
      </c>
      <c r="R523">
        <v>0.65</v>
      </c>
      <c r="S523" t="b">
        <v>0</v>
      </c>
      <c r="T523">
        <v>1</v>
      </c>
      <c r="U523">
        <v>5</v>
      </c>
      <c r="V523" t="s">
        <v>0</v>
      </c>
    </row>
    <row r="524" spans="1:22" x14ac:dyDescent="0.25">
      <c r="A524" t="s">
        <v>1227</v>
      </c>
      <c r="B524">
        <v>2018</v>
      </c>
      <c r="C524" t="s">
        <v>9</v>
      </c>
      <c r="D524" t="s">
        <v>8</v>
      </c>
      <c r="E524" t="s">
        <v>17</v>
      </c>
      <c r="F524" t="s">
        <v>112</v>
      </c>
      <c r="G524" t="s">
        <v>135</v>
      </c>
      <c r="H524" t="s">
        <v>15</v>
      </c>
      <c r="I524" t="s">
        <v>14</v>
      </c>
      <c r="J524" t="s">
        <v>13</v>
      </c>
      <c r="K524">
        <v>0</v>
      </c>
      <c r="M524">
        <v>0.18</v>
      </c>
      <c r="N524" t="s">
        <v>1226</v>
      </c>
      <c r="P524">
        <v>23165</v>
      </c>
      <c r="Q524">
        <v>-2.78</v>
      </c>
      <c r="R524">
        <v>0.77</v>
      </c>
      <c r="S524" t="b">
        <v>0</v>
      </c>
      <c r="T524">
        <v>3</v>
      </c>
      <c r="U524">
        <v>14</v>
      </c>
      <c r="V524" t="s">
        <v>0</v>
      </c>
    </row>
    <row r="525" spans="1:22" x14ac:dyDescent="0.25">
      <c r="A525" t="s">
        <v>1225</v>
      </c>
      <c r="B525">
        <v>2018</v>
      </c>
      <c r="C525" t="s">
        <v>9</v>
      </c>
      <c r="D525" t="s">
        <v>8</v>
      </c>
      <c r="E525" t="s">
        <v>42</v>
      </c>
      <c r="F525" t="s">
        <v>108</v>
      </c>
      <c r="G525" t="s">
        <v>135</v>
      </c>
      <c r="H525" t="s">
        <v>15</v>
      </c>
      <c r="I525" t="s">
        <v>97</v>
      </c>
      <c r="J525" t="s">
        <v>2</v>
      </c>
      <c r="K525">
        <v>0</v>
      </c>
      <c r="M525">
        <v>0.2</v>
      </c>
      <c r="N525" t="s">
        <v>1224</v>
      </c>
      <c r="P525">
        <v>26183</v>
      </c>
      <c r="Q525">
        <v>3.14</v>
      </c>
      <c r="R525">
        <v>0.82</v>
      </c>
      <c r="S525" t="b">
        <v>0</v>
      </c>
      <c r="T525">
        <v>2</v>
      </c>
      <c r="U525">
        <v>15</v>
      </c>
      <c r="V525" t="s">
        <v>0</v>
      </c>
    </row>
    <row r="526" spans="1:22" x14ac:dyDescent="0.25">
      <c r="A526" t="s">
        <v>1223</v>
      </c>
      <c r="B526">
        <v>2018</v>
      </c>
      <c r="C526" t="s">
        <v>9</v>
      </c>
      <c r="D526" t="s">
        <v>8</v>
      </c>
      <c r="E526" t="s">
        <v>219</v>
      </c>
      <c r="F526" t="s">
        <v>75</v>
      </c>
      <c r="G526" t="s">
        <v>62</v>
      </c>
      <c r="H526" t="s">
        <v>4</v>
      </c>
      <c r="I526" t="s">
        <v>97</v>
      </c>
      <c r="J526" t="s">
        <v>73</v>
      </c>
      <c r="K526">
        <v>1</v>
      </c>
      <c r="L526" t="s">
        <v>674</v>
      </c>
      <c r="M526">
        <v>0.66</v>
      </c>
      <c r="N526" t="s">
        <v>1222</v>
      </c>
      <c r="O526" t="s">
        <v>674</v>
      </c>
      <c r="P526">
        <v>29598</v>
      </c>
      <c r="Q526">
        <v>16.989999999999998</v>
      </c>
      <c r="R526">
        <v>0.38</v>
      </c>
      <c r="S526" t="b">
        <v>1</v>
      </c>
      <c r="T526">
        <v>2</v>
      </c>
      <c r="U526">
        <v>17</v>
      </c>
      <c r="V526" t="s">
        <v>0</v>
      </c>
    </row>
    <row r="527" spans="1:22" x14ac:dyDescent="0.25">
      <c r="A527" s="1" t="s">
        <v>1221</v>
      </c>
      <c r="B527">
        <v>2018</v>
      </c>
      <c r="C527" t="s">
        <v>167</v>
      </c>
      <c r="D527" t="s">
        <v>43</v>
      </c>
      <c r="E527" t="s">
        <v>219</v>
      </c>
      <c r="F527" t="s">
        <v>108</v>
      </c>
      <c r="G527" t="s">
        <v>25</v>
      </c>
      <c r="H527" t="s">
        <v>179</v>
      </c>
      <c r="I527" t="s">
        <v>90</v>
      </c>
      <c r="J527" t="s">
        <v>13</v>
      </c>
      <c r="K527">
        <v>1</v>
      </c>
      <c r="L527" t="s">
        <v>409</v>
      </c>
      <c r="M527">
        <v>0.71</v>
      </c>
      <c r="N527" t="s">
        <v>1220</v>
      </c>
      <c r="O527" t="s">
        <v>409</v>
      </c>
      <c r="P527">
        <v>95330</v>
      </c>
      <c r="Q527">
        <v>6</v>
      </c>
      <c r="R527">
        <v>0.2</v>
      </c>
      <c r="S527" t="b">
        <v>1</v>
      </c>
      <c r="T527">
        <v>2</v>
      </c>
      <c r="U527">
        <v>11</v>
      </c>
      <c r="V527" t="s">
        <v>0</v>
      </c>
    </row>
    <row r="528" spans="1:22" x14ac:dyDescent="0.25">
      <c r="A528" t="s">
        <v>1219</v>
      </c>
      <c r="B528">
        <v>2018</v>
      </c>
      <c r="C528" t="s">
        <v>220</v>
      </c>
      <c r="D528" t="s">
        <v>91</v>
      </c>
      <c r="E528" t="s">
        <v>36</v>
      </c>
      <c r="F528" t="s">
        <v>80</v>
      </c>
      <c r="G528" t="s">
        <v>16</v>
      </c>
      <c r="H528" t="s">
        <v>85</v>
      </c>
      <c r="I528" t="s">
        <v>24</v>
      </c>
      <c r="J528" t="s">
        <v>79</v>
      </c>
      <c r="K528">
        <v>1</v>
      </c>
      <c r="L528" t="s">
        <v>1217</v>
      </c>
      <c r="M528">
        <v>0.59</v>
      </c>
      <c r="N528" t="s">
        <v>1218</v>
      </c>
      <c r="O528" t="s">
        <v>1217</v>
      </c>
      <c r="P528">
        <v>91754</v>
      </c>
      <c r="Q528">
        <v>7.34</v>
      </c>
      <c r="R528">
        <v>0.26</v>
      </c>
      <c r="S528" t="b">
        <v>1</v>
      </c>
      <c r="T528">
        <v>2</v>
      </c>
      <c r="U528">
        <v>7</v>
      </c>
      <c r="V528" t="s">
        <v>0</v>
      </c>
    </row>
    <row r="529" spans="1:22" x14ac:dyDescent="0.25">
      <c r="A529" t="s">
        <v>1216</v>
      </c>
      <c r="B529">
        <v>2018</v>
      </c>
      <c r="C529" t="s">
        <v>152</v>
      </c>
      <c r="D529" t="s">
        <v>28</v>
      </c>
      <c r="E529" t="s">
        <v>36</v>
      </c>
      <c r="F529" t="s">
        <v>108</v>
      </c>
      <c r="G529" t="s">
        <v>135</v>
      </c>
      <c r="H529" t="s">
        <v>49</v>
      </c>
      <c r="I529" t="s">
        <v>107</v>
      </c>
      <c r="J529" t="s">
        <v>79</v>
      </c>
      <c r="K529">
        <v>0</v>
      </c>
      <c r="M529">
        <v>0.17</v>
      </c>
      <c r="N529" t="s">
        <v>1215</v>
      </c>
      <c r="P529">
        <v>43669</v>
      </c>
      <c r="Q529">
        <v>1.27</v>
      </c>
      <c r="R529">
        <v>0.69</v>
      </c>
      <c r="S529" t="b">
        <v>0</v>
      </c>
      <c r="T529">
        <v>3</v>
      </c>
      <c r="U529">
        <v>10</v>
      </c>
      <c r="V529" t="s">
        <v>0</v>
      </c>
    </row>
    <row r="530" spans="1:22" x14ac:dyDescent="0.25">
      <c r="A530" t="s">
        <v>1214</v>
      </c>
      <c r="B530">
        <v>2018</v>
      </c>
      <c r="C530" t="s">
        <v>65</v>
      </c>
      <c r="D530" t="s">
        <v>64</v>
      </c>
      <c r="E530" t="s">
        <v>27</v>
      </c>
      <c r="F530" t="s">
        <v>41</v>
      </c>
      <c r="G530" t="s">
        <v>135</v>
      </c>
      <c r="H530" t="s">
        <v>61</v>
      </c>
      <c r="I530" t="s">
        <v>24</v>
      </c>
      <c r="J530" t="s">
        <v>73</v>
      </c>
      <c r="K530">
        <v>0</v>
      </c>
      <c r="M530">
        <v>0.14000000000000001</v>
      </c>
      <c r="N530" t="s">
        <v>1213</v>
      </c>
      <c r="P530">
        <v>93446</v>
      </c>
      <c r="Q530">
        <v>-3.63</v>
      </c>
      <c r="R530">
        <v>0.66</v>
      </c>
      <c r="S530" t="b">
        <v>0</v>
      </c>
      <c r="T530">
        <v>1</v>
      </c>
      <c r="U530">
        <v>4</v>
      </c>
      <c r="V530" t="s">
        <v>0</v>
      </c>
    </row>
    <row r="531" spans="1:22" x14ac:dyDescent="0.25">
      <c r="A531" t="s">
        <v>1212</v>
      </c>
      <c r="B531">
        <v>2018</v>
      </c>
      <c r="C531" t="s">
        <v>298</v>
      </c>
      <c r="D531" t="s">
        <v>125</v>
      </c>
      <c r="E531" t="s">
        <v>219</v>
      </c>
      <c r="F531" t="s">
        <v>26</v>
      </c>
      <c r="G531" t="s">
        <v>16</v>
      </c>
      <c r="H531" t="s">
        <v>34</v>
      </c>
      <c r="I531" t="s">
        <v>24</v>
      </c>
      <c r="J531" t="s">
        <v>73</v>
      </c>
      <c r="K531">
        <v>0</v>
      </c>
      <c r="M531">
        <v>0.14000000000000001</v>
      </c>
      <c r="N531" t="s">
        <v>1211</v>
      </c>
      <c r="P531">
        <v>22540</v>
      </c>
      <c r="Q531">
        <v>-2.4700000000000002</v>
      </c>
      <c r="R531">
        <v>0.77</v>
      </c>
      <c r="S531" t="b">
        <v>0</v>
      </c>
      <c r="T531">
        <v>2</v>
      </c>
      <c r="U531">
        <v>11</v>
      </c>
      <c r="V531" t="s">
        <v>0</v>
      </c>
    </row>
    <row r="532" spans="1:22" x14ac:dyDescent="0.25">
      <c r="A532" t="s">
        <v>1210</v>
      </c>
      <c r="B532">
        <v>2018</v>
      </c>
      <c r="C532" t="s">
        <v>233</v>
      </c>
      <c r="D532" t="s">
        <v>125</v>
      </c>
      <c r="E532" t="s">
        <v>182</v>
      </c>
      <c r="F532" t="s">
        <v>80</v>
      </c>
      <c r="G532" t="s">
        <v>16</v>
      </c>
      <c r="H532" t="s">
        <v>85</v>
      </c>
      <c r="I532" t="s">
        <v>40</v>
      </c>
      <c r="J532" t="s">
        <v>13</v>
      </c>
      <c r="K532">
        <v>0</v>
      </c>
      <c r="M532">
        <v>0.17</v>
      </c>
      <c r="N532" t="s">
        <v>1209</v>
      </c>
      <c r="P532">
        <v>20594</v>
      </c>
      <c r="Q532">
        <v>1.47</v>
      </c>
      <c r="R532">
        <v>0.86</v>
      </c>
      <c r="S532" t="b">
        <v>0</v>
      </c>
      <c r="T532">
        <v>2</v>
      </c>
      <c r="U532">
        <v>6</v>
      </c>
      <c r="V532" t="s">
        <v>0</v>
      </c>
    </row>
    <row r="533" spans="1:22" x14ac:dyDescent="0.25">
      <c r="A533" t="s">
        <v>1208</v>
      </c>
      <c r="B533">
        <v>2018</v>
      </c>
      <c r="C533" t="s">
        <v>176</v>
      </c>
      <c r="D533" t="s">
        <v>64</v>
      </c>
      <c r="E533" t="s">
        <v>219</v>
      </c>
      <c r="F533" t="s">
        <v>108</v>
      </c>
      <c r="G533" t="s">
        <v>135</v>
      </c>
      <c r="H533" t="s">
        <v>49</v>
      </c>
      <c r="I533" t="s">
        <v>33</v>
      </c>
      <c r="J533" t="s">
        <v>13</v>
      </c>
      <c r="K533">
        <v>0</v>
      </c>
      <c r="M533">
        <v>0.17</v>
      </c>
      <c r="N533" t="s">
        <v>1207</v>
      </c>
      <c r="P533">
        <v>89247</v>
      </c>
      <c r="Q533">
        <v>4.7</v>
      </c>
      <c r="R533">
        <v>0.77</v>
      </c>
      <c r="S533" t="b">
        <v>0</v>
      </c>
      <c r="T533">
        <v>3</v>
      </c>
      <c r="U533">
        <v>16</v>
      </c>
      <c r="V533" t="s">
        <v>0</v>
      </c>
    </row>
    <row r="534" spans="1:22" x14ac:dyDescent="0.25">
      <c r="A534" t="s">
        <v>1206</v>
      </c>
      <c r="B534">
        <v>2018</v>
      </c>
      <c r="C534" t="s">
        <v>86</v>
      </c>
      <c r="D534" t="s">
        <v>131</v>
      </c>
      <c r="E534" t="s">
        <v>130</v>
      </c>
      <c r="F534" t="s">
        <v>55</v>
      </c>
      <c r="G534" t="s">
        <v>16</v>
      </c>
      <c r="H534" t="s">
        <v>141</v>
      </c>
      <c r="I534" t="s">
        <v>97</v>
      </c>
      <c r="J534" t="s">
        <v>96</v>
      </c>
      <c r="K534">
        <v>1</v>
      </c>
      <c r="L534" t="s">
        <v>1204</v>
      </c>
      <c r="M534">
        <v>0.42</v>
      </c>
      <c r="N534" t="s">
        <v>1205</v>
      </c>
      <c r="O534" t="s">
        <v>1204</v>
      </c>
      <c r="P534">
        <v>53292</v>
      </c>
      <c r="Q534">
        <v>14.05</v>
      </c>
      <c r="R534">
        <v>0.23</v>
      </c>
      <c r="S534" t="b">
        <v>1</v>
      </c>
      <c r="T534">
        <v>3</v>
      </c>
      <c r="U534">
        <v>5</v>
      </c>
      <c r="V534" t="s">
        <v>0</v>
      </c>
    </row>
    <row r="535" spans="1:22" x14ac:dyDescent="0.25">
      <c r="A535" t="s">
        <v>1203</v>
      </c>
      <c r="B535">
        <v>2018</v>
      </c>
      <c r="C535" t="s">
        <v>92</v>
      </c>
      <c r="D535" t="s">
        <v>91</v>
      </c>
      <c r="E535" t="s">
        <v>50</v>
      </c>
      <c r="F535" t="s">
        <v>115</v>
      </c>
      <c r="G535" t="s">
        <v>135</v>
      </c>
      <c r="H535" t="s">
        <v>15</v>
      </c>
      <c r="I535" t="s">
        <v>90</v>
      </c>
      <c r="J535" t="s">
        <v>23</v>
      </c>
      <c r="K535">
        <v>0</v>
      </c>
      <c r="M535">
        <v>0.16</v>
      </c>
      <c r="N535" t="s">
        <v>1202</v>
      </c>
      <c r="P535">
        <v>58438</v>
      </c>
      <c r="Q535">
        <v>-0.9</v>
      </c>
      <c r="R535">
        <v>0.77</v>
      </c>
      <c r="S535" t="b">
        <v>0</v>
      </c>
      <c r="T535">
        <v>2</v>
      </c>
      <c r="U535">
        <v>2</v>
      </c>
      <c r="V535" t="s">
        <v>0</v>
      </c>
    </row>
    <row r="536" spans="1:22" x14ac:dyDescent="0.25">
      <c r="A536" t="s">
        <v>1201</v>
      </c>
      <c r="B536">
        <v>2018</v>
      </c>
      <c r="C536" t="s">
        <v>51</v>
      </c>
      <c r="D536" t="s">
        <v>18</v>
      </c>
      <c r="E536" t="s">
        <v>182</v>
      </c>
      <c r="F536" t="s">
        <v>156</v>
      </c>
      <c r="G536" t="s">
        <v>25</v>
      </c>
      <c r="H536" t="s">
        <v>34</v>
      </c>
      <c r="I536" t="s">
        <v>33</v>
      </c>
      <c r="J536" t="s">
        <v>79</v>
      </c>
      <c r="K536">
        <v>0</v>
      </c>
      <c r="M536">
        <v>0.11</v>
      </c>
      <c r="N536" t="s">
        <v>1200</v>
      </c>
      <c r="P536">
        <v>64374</v>
      </c>
      <c r="Q536">
        <v>1.52</v>
      </c>
      <c r="R536">
        <v>0.7</v>
      </c>
      <c r="S536" t="b">
        <v>0</v>
      </c>
      <c r="T536">
        <v>1</v>
      </c>
      <c r="U536">
        <v>16</v>
      </c>
      <c r="V536" t="s">
        <v>0</v>
      </c>
    </row>
    <row r="537" spans="1:22" x14ac:dyDescent="0.25">
      <c r="A537" t="s">
        <v>1199</v>
      </c>
      <c r="B537">
        <v>2018</v>
      </c>
      <c r="C537" t="s">
        <v>164</v>
      </c>
      <c r="D537" t="s">
        <v>8</v>
      </c>
      <c r="E537" t="s">
        <v>50</v>
      </c>
      <c r="F537" t="s">
        <v>156</v>
      </c>
      <c r="G537" t="s">
        <v>5</v>
      </c>
      <c r="H537" t="s">
        <v>15</v>
      </c>
      <c r="I537" t="s">
        <v>24</v>
      </c>
      <c r="J537" t="s">
        <v>73</v>
      </c>
      <c r="K537">
        <v>1</v>
      </c>
      <c r="L537" t="s">
        <v>1197</v>
      </c>
      <c r="M537">
        <v>0.69</v>
      </c>
      <c r="N537" t="s">
        <v>1198</v>
      </c>
      <c r="O537" t="s">
        <v>1197</v>
      </c>
      <c r="P537">
        <v>38151</v>
      </c>
      <c r="Q537">
        <v>5.13</v>
      </c>
      <c r="R537">
        <v>0.22</v>
      </c>
      <c r="S537" t="b">
        <v>1</v>
      </c>
      <c r="T537">
        <v>1</v>
      </c>
      <c r="U537">
        <v>1</v>
      </c>
      <c r="V537" t="s">
        <v>0</v>
      </c>
    </row>
    <row r="538" spans="1:22" x14ac:dyDescent="0.25">
      <c r="A538" t="s">
        <v>1196</v>
      </c>
      <c r="B538">
        <v>2018</v>
      </c>
      <c r="C538" t="s">
        <v>117</v>
      </c>
      <c r="D538" t="s">
        <v>91</v>
      </c>
      <c r="E538" t="s">
        <v>7</v>
      </c>
      <c r="F538" t="s">
        <v>41</v>
      </c>
      <c r="G538" t="s">
        <v>135</v>
      </c>
      <c r="H538" t="s">
        <v>49</v>
      </c>
      <c r="I538" t="s">
        <v>68</v>
      </c>
      <c r="J538" t="s">
        <v>2</v>
      </c>
      <c r="K538">
        <v>0</v>
      </c>
      <c r="M538">
        <v>0.12</v>
      </c>
      <c r="N538" t="s">
        <v>1195</v>
      </c>
      <c r="P538">
        <v>66948</v>
      </c>
      <c r="Q538">
        <v>-1.7</v>
      </c>
      <c r="R538">
        <v>0.83</v>
      </c>
      <c r="S538" t="b">
        <v>0</v>
      </c>
      <c r="T538">
        <v>3</v>
      </c>
      <c r="U538">
        <v>4</v>
      </c>
      <c r="V538" t="s">
        <v>0</v>
      </c>
    </row>
    <row r="539" spans="1:22" x14ac:dyDescent="0.25">
      <c r="A539" t="s">
        <v>1194</v>
      </c>
      <c r="B539">
        <v>2018</v>
      </c>
      <c r="C539" t="s">
        <v>126</v>
      </c>
      <c r="D539" t="s">
        <v>125</v>
      </c>
      <c r="E539" t="s">
        <v>27</v>
      </c>
      <c r="F539" t="s">
        <v>35</v>
      </c>
      <c r="G539" t="s">
        <v>5</v>
      </c>
      <c r="H539" t="s">
        <v>4</v>
      </c>
      <c r="I539" t="s">
        <v>24</v>
      </c>
      <c r="J539" t="s">
        <v>73</v>
      </c>
      <c r="K539">
        <v>0</v>
      </c>
      <c r="M539">
        <v>0.1</v>
      </c>
      <c r="N539" t="s">
        <v>1193</v>
      </c>
      <c r="P539">
        <v>24254</v>
      </c>
      <c r="Q539">
        <v>1.85</v>
      </c>
      <c r="R539">
        <v>0.77</v>
      </c>
      <c r="S539" t="b">
        <v>0</v>
      </c>
      <c r="T539">
        <v>2</v>
      </c>
      <c r="U539">
        <v>11</v>
      </c>
      <c r="V539" t="s">
        <v>0</v>
      </c>
    </row>
    <row r="540" spans="1:22" x14ac:dyDescent="0.25">
      <c r="A540" t="s">
        <v>1192</v>
      </c>
      <c r="B540">
        <v>2018</v>
      </c>
      <c r="C540" t="s">
        <v>215</v>
      </c>
      <c r="D540" t="s">
        <v>91</v>
      </c>
      <c r="E540" t="s">
        <v>121</v>
      </c>
      <c r="F540" t="s">
        <v>75</v>
      </c>
      <c r="G540" t="s">
        <v>25</v>
      </c>
      <c r="H540" t="s">
        <v>49</v>
      </c>
      <c r="I540" t="s">
        <v>74</v>
      </c>
      <c r="J540" t="s">
        <v>79</v>
      </c>
      <c r="K540">
        <v>0</v>
      </c>
      <c r="M540">
        <v>0.18</v>
      </c>
      <c r="N540" t="s">
        <v>1191</v>
      </c>
      <c r="P540">
        <v>62038</v>
      </c>
      <c r="Q540">
        <v>2.81</v>
      </c>
      <c r="R540">
        <v>0.81</v>
      </c>
      <c r="S540" t="b">
        <v>0</v>
      </c>
      <c r="T540">
        <v>2</v>
      </c>
      <c r="U540">
        <v>6</v>
      </c>
      <c r="V540" t="s">
        <v>0</v>
      </c>
    </row>
    <row r="541" spans="1:22" x14ac:dyDescent="0.25">
      <c r="A541" t="s">
        <v>1190</v>
      </c>
      <c r="B541">
        <v>2018</v>
      </c>
      <c r="C541" t="s">
        <v>117</v>
      </c>
      <c r="D541" t="s">
        <v>91</v>
      </c>
      <c r="E541" t="s">
        <v>56</v>
      </c>
      <c r="F541" t="s">
        <v>112</v>
      </c>
      <c r="G541" t="s">
        <v>62</v>
      </c>
      <c r="H541" t="s">
        <v>15</v>
      </c>
      <c r="I541" t="s">
        <v>97</v>
      </c>
      <c r="J541" t="s">
        <v>13</v>
      </c>
      <c r="K541">
        <v>0</v>
      </c>
      <c r="M541">
        <v>0.06</v>
      </c>
      <c r="N541" t="s">
        <v>1189</v>
      </c>
      <c r="P541">
        <v>66216</v>
      </c>
      <c r="Q541">
        <v>3.29</v>
      </c>
      <c r="R541">
        <v>0.69</v>
      </c>
      <c r="S541" t="b">
        <v>0</v>
      </c>
      <c r="T541">
        <v>2</v>
      </c>
      <c r="U541">
        <v>0</v>
      </c>
      <c r="V541" t="s">
        <v>0</v>
      </c>
    </row>
    <row r="542" spans="1:22" x14ac:dyDescent="0.25">
      <c r="A542" t="s">
        <v>1188</v>
      </c>
      <c r="B542">
        <v>2018</v>
      </c>
      <c r="C542" t="s">
        <v>126</v>
      </c>
      <c r="D542" t="s">
        <v>125</v>
      </c>
      <c r="E542" t="s">
        <v>50</v>
      </c>
      <c r="F542" t="s">
        <v>41</v>
      </c>
      <c r="G542" t="s">
        <v>62</v>
      </c>
      <c r="H542" t="s">
        <v>85</v>
      </c>
      <c r="I542" t="s">
        <v>90</v>
      </c>
      <c r="J542" t="s">
        <v>79</v>
      </c>
      <c r="K542">
        <v>1</v>
      </c>
      <c r="L542" t="s">
        <v>1186</v>
      </c>
      <c r="M542">
        <v>0.74</v>
      </c>
      <c r="N542" t="s">
        <v>1187</v>
      </c>
      <c r="O542" t="s">
        <v>1186</v>
      </c>
      <c r="P542">
        <v>30686</v>
      </c>
      <c r="Q542">
        <v>8.56</v>
      </c>
      <c r="R542">
        <v>0.12</v>
      </c>
      <c r="S542" t="b">
        <v>1</v>
      </c>
      <c r="T542">
        <v>2</v>
      </c>
      <c r="U542">
        <v>19</v>
      </c>
      <c r="V542" t="s">
        <v>0</v>
      </c>
    </row>
    <row r="543" spans="1:22" x14ac:dyDescent="0.25">
      <c r="A543" t="s">
        <v>1185</v>
      </c>
      <c r="B543">
        <v>2018</v>
      </c>
      <c r="C543" t="s">
        <v>382</v>
      </c>
      <c r="D543" t="s">
        <v>125</v>
      </c>
      <c r="E543" t="s">
        <v>182</v>
      </c>
      <c r="F543" t="s">
        <v>124</v>
      </c>
      <c r="G543" t="s">
        <v>25</v>
      </c>
      <c r="H543" t="s">
        <v>141</v>
      </c>
      <c r="I543" t="s">
        <v>40</v>
      </c>
      <c r="J543" t="s">
        <v>96</v>
      </c>
      <c r="K543">
        <v>0</v>
      </c>
      <c r="M543">
        <v>0.14000000000000001</v>
      </c>
      <c r="N543" t="s">
        <v>1184</v>
      </c>
      <c r="P543">
        <v>19912</v>
      </c>
      <c r="Q543">
        <v>2.7</v>
      </c>
      <c r="R543">
        <v>0.86</v>
      </c>
      <c r="S543" t="b">
        <v>0</v>
      </c>
      <c r="T543">
        <v>2</v>
      </c>
      <c r="U543">
        <v>11</v>
      </c>
      <c r="V543" t="s">
        <v>0</v>
      </c>
    </row>
    <row r="544" spans="1:22" x14ac:dyDescent="0.25">
      <c r="A544" t="s">
        <v>1183</v>
      </c>
      <c r="B544">
        <v>2018</v>
      </c>
      <c r="C544" t="s">
        <v>413</v>
      </c>
      <c r="D544" t="s">
        <v>8</v>
      </c>
      <c r="E544" t="s">
        <v>219</v>
      </c>
      <c r="F544" t="s">
        <v>80</v>
      </c>
      <c r="G544" t="s">
        <v>25</v>
      </c>
      <c r="H544" t="s">
        <v>85</v>
      </c>
      <c r="I544" t="s">
        <v>14</v>
      </c>
      <c r="J544" t="s">
        <v>73</v>
      </c>
      <c r="K544">
        <v>0</v>
      </c>
      <c r="M544">
        <v>0</v>
      </c>
      <c r="N544" t="s">
        <v>1182</v>
      </c>
      <c r="P544">
        <v>21966</v>
      </c>
      <c r="Q544">
        <v>-0.89</v>
      </c>
      <c r="R544">
        <v>0.72</v>
      </c>
      <c r="S544" t="b">
        <v>0</v>
      </c>
      <c r="T544">
        <v>3</v>
      </c>
      <c r="U544">
        <v>10</v>
      </c>
      <c r="V544" t="s">
        <v>0</v>
      </c>
    </row>
    <row r="545" spans="1:22" x14ac:dyDescent="0.25">
      <c r="A545" t="s">
        <v>1181</v>
      </c>
      <c r="B545">
        <v>2018</v>
      </c>
      <c r="C545" t="s">
        <v>9</v>
      </c>
      <c r="D545" t="s">
        <v>8</v>
      </c>
      <c r="E545" t="s">
        <v>147</v>
      </c>
      <c r="F545" t="s">
        <v>124</v>
      </c>
      <c r="G545" t="s">
        <v>16</v>
      </c>
      <c r="H545" t="s">
        <v>141</v>
      </c>
      <c r="I545" t="s">
        <v>3</v>
      </c>
      <c r="J545" t="s">
        <v>13</v>
      </c>
      <c r="K545">
        <v>0</v>
      </c>
      <c r="M545">
        <v>0</v>
      </c>
      <c r="N545" t="s">
        <v>1180</v>
      </c>
      <c r="P545">
        <v>23907</v>
      </c>
      <c r="Q545">
        <v>-0.8</v>
      </c>
      <c r="R545">
        <v>0.89</v>
      </c>
      <c r="S545" t="b">
        <v>0</v>
      </c>
      <c r="T545">
        <v>2</v>
      </c>
      <c r="U545">
        <v>0</v>
      </c>
      <c r="V545" t="s">
        <v>0</v>
      </c>
    </row>
    <row r="546" spans="1:22" x14ac:dyDescent="0.25">
      <c r="A546" t="s">
        <v>1179</v>
      </c>
      <c r="B546">
        <v>2018</v>
      </c>
      <c r="C546" t="s">
        <v>9</v>
      </c>
      <c r="D546" t="s">
        <v>8</v>
      </c>
      <c r="E546" t="s">
        <v>42</v>
      </c>
      <c r="F546" t="s">
        <v>156</v>
      </c>
      <c r="G546" t="s">
        <v>62</v>
      </c>
      <c r="H546" t="s">
        <v>4</v>
      </c>
      <c r="I546" t="s">
        <v>68</v>
      </c>
      <c r="J546" t="s">
        <v>2</v>
      </c>
      <c r="K546">
        <v>0</v>
      </c>
      <c r="M546">
        <v>0.13</v>
      </c>
      <c r="N546" t="s">
        <v>1178</v>
      </c>
      <c r="P546">
        <v>25390</v>
      </c>
      <c r="Q546">
        <v>4.3499999999999996</v>
      </c>
      <c r="R546">
        <v>0.61</v>
      </c>
      <c r="S546" t="b">
        <v>0</v>
      </c>
      <c r="T546">
        <v>1</v>
      </c>
      <c r="U546">
        <v>12</v>
      </c>
      <c r="V546" t="s">
        <v>0</v>
      </c>
    </row>
    <row r="547" spans="1:22" x14ac:dyDescent="0.25">
      <c r="A547" t="s">
        <v>1177</v>
      </c>
      <c r="B547">
        <v>2018</v>
      </c>
      <c r="C547" t="s">
        <v>298</v>
      </c>
      <c r="D547" t="s">
        <v>125</v>
      </c>
      <c r="E547" t="s">
        <v>56</v>
      </c>
      <c r="F547" t="s">
        <v>156</v>
      </c>
      <c r="G547" t="s">
        <v>25</v>
      </c>
      <c r="H547" t="s">
        <v>61</v>
      </c>
      <c r="I547" t="s">
        <v>97</v>
      </c>
      <c r="J547" t="s">
        <v>79</v>
      </c>
      <c r="K547">
        <v>0</v>
      </c>
      <c r="M547">
        <v>0.18</v>
      </c>
      <c r="N547" t="s">
        <v>1176</v>
      </c>
      <c r="P547">
        <v>21046</v>
      </c>
      <c r="Q547">
        <v>4.4000000000000004</v>
      </c>
      <c r="R547">
        <v>0.8</v>
      </c>
      <c r="S547" t="b">
        <v>0</v>
      </c>
      <c r="T547">
        <v>3</v>
      </c>
      <c r="U547">
        <v>12</v>
      </c>
      <c r="V547" t="s">
        <v>0</v>
      </c>
    </row>
    <row r="548" spans="1:22" x14ac:dyDescent="0.25">
      <c r="A548" t="s">
        <v>1175</v>
      </c>
      <c r="B548">
        <v>2018</v>
      </c>
      <c r="C548" t="s">
        <v>378</v>
      </c>
      <c r="D548" t="s">
        <v>43</v>
      </c>
      <c r="E548" t="s">
        <v>7</v>
      </c>
      <c r="F548" t="s">
        <v>156</v>
      </c>
      <c r="G548" t="s">
        <v>25</v>
      </c>
      <c r="H548" t="s">
        <v>4</v>
      </c>
      <c r="I548" t="s">
        <v>3</v>
      </c>
      <c r="J548" t="s">
        <v>13</v>
      </c>
      <c r="K548">
        <v>0</v>
      </c>
      <c r="M548">
        <v>0.11</v>
      </c>
      <c r="N548" t="s">
        <v>1174</v>
      </c>
      <c r="P548">
        <v>74504</v>
      </c>
      <c r="Q548">
        <v>-0.37</v>
      </c>
      <c r="R548">
        <v>0.83</v>
      </c>
      <c r="S548" t="b">
        <v>0</v>
      </c>
      <c r="T548">
        <v>3</v>
      </c>
      <c r="U548">
        <v>13</v>
      </c>
      <c r="V548" t="s">
        <v>0</v>
      </c>
    </row>
    <row r="549" spans="1:22" x14ac:dyDescent="0.25">
      <c r="A549" t="s">
        <v>1173</v>
      </c>
      <c r="B549">
        <v>2018</v>
      </c>
      <c r="C549" t="s">
        <v>298</v>
      </c>
      <c r="D549" t="s">
        <v>125</v>
      </c>
      <c r="E549" t="s">
        <v>86</v>
      </c>
      <c r="F549" t="s">
        <v>35</v>
      </c>
      <c r="G549" t="s">
        <v>5</v>
      </c>
      <c r="H549" t="s">
        <v>34</v>
      </c>
      <c r="I549" t="s">
        <v>3</v>
      </c>
      <c r="J549" t="s">
        <v>2</v>
      </c>
      <c r="K549">
        <v>1</v>
      </c>
      <c r="L549" t="s">
        <v>1033</v>
      </c>
      <c r="M549">
        <v>0.43</v>
      </c>
      <c r="N549" t="s">
        <v>1172</v>
      </c>
      <c r="O549" t="s">
        <v>1033</v>
      </c>
      <c r="P549">
        <v>31755</v>
      </c>
      <c r="Q549">
        <v>17.66</v>
      </c>
      <c r="R549">
        <v>0.28999999999999998</v>
      </c>
      <c r="S549" t="b">
        <v>1</v>
      </c>
      <c r="T549">
        <v>2</v>
      </c>
      <c r="U549">
        <v>11</v>
      </c>
      <c r="V549" t="s">
        <v>0</v>
      </c>
    </row>
    <row r="550" spans="1:22" x14ac:dyDescent="0.25">
      <c r="A550" t="s">
        <v>1171</v>
      </c>
      <c r="B550">
        <v>2018</v>
      </c>
      <c r="C550" t="s">
        <v>233</v>
      </c>
      <c r="D550" t="s">
        <v>125</v>
      </c>
      <c r="E550" t="s">
        <v>121</v>
      </c>
      <c r="F550" t="s">
        <v>6</v>
      </c>
      <c r="G550" t="s">
        <v>135</v>
      </c>
      <c r="H550" t="s">
        <v>179</v>
      </c>
      <c r="I550" t="s">
        <v>24</v>
      </c>
      <c r="J550" t="s">
        <v>13</v>
      </c>
      <c r="K550">
        <v>1</v>
      </c>
      <c r="L550" t="s">
        <v>88</v>
      </c>
      <c r="M550">
        <v>0.68</v>
      </c>
      <c r="N550" t="s">
        <v>1170</v>
      </c>
      <c r="O550" t="s">
        <v>88</v>
      </c>
      <c r="P550">
        <v>27918</v>
      </c>
      <c r="Q550">
        <v>13.11</v>
      </c>
      <c r="R550">
        <v>0.17</v>
      </c>
      <c r="S550" t="b">
        <v>1</v>
      </c>
      <c r="T550">
        <v>2</v>
      </c>
      <c r="U550">
        <v>15</v>
      </c>
      <c r="V550" t="s">
        <v>0</v>
      </c>
    </row>
    <row r="551" spans="1:22" x14ac:dyDescent="0.25">
      <c r="A551" t="s">
        <v>1169</v>
      </c>
      <c r="B551">
        <v>2018</v>
      </c>
      <c r="C551" t="s">
        <v>81</v>
      </c>
      <c r="D551" t="s">
        <v>28</v>
      </c>
      <c r="E551" t="s">
        <v>36</v>
      </c>
      <c r="F551" t="s">
        <v>26</v>
      </c>
      <c r="G551" t="s">
        <v>16</v>
      </c>
      <c r="H551" t="s">
        <v>49</v>
      </c>
      <c r="I551" t="s">
        <v>90</v>
      </c>
      <c r="J551" t="s">
        <v>2</v>
      </c>
      <c r="K551">
        <v>0</v>
      </c>
      <c r="M551">
        <v>0.18</v>
      </c>
      <c r="N551" t="s">
        <v>1168</v>
      </c>
      <c r="P551">
        <v>41345</v>
      </c>
      <c r="Q551">
        <v>-0.72</v>
      </c>
      <c r="R551">
        <v>0.61</v>
      </c>
      <c r="S551" t="b">
        <v>0</v>
      </c>
      <c r="T551">
        <v>1</v>
      </c>
      <c r="U551">
        <v>15</v>
      </c>
      <c r="V551" t="s">
        <v>0</v>
      </c>
    </row>
    <row r="552" spans="1:22" x14ac:dyDescent="0.25">
      <c r="A552" t="s">
        <v>1167</v>
      </c>
      <c r="B552">
        <v>2018</v>
      </c>
      <c r="C552" t="s">
        <v>171</v>
      </c>
      <c r="D552" t="s">
        <v>57</v>
      </c>
      <c r="E552" t="s">
        <v>116</v>
      </c>
      <c r="F552" t="s">
        <v>156</v>
      </c>
      <c r="G552" t="s">
        <v>16</v>
      </c>
      <c r="H552" t="s">
        <v>179</v>
      </c>
      <c r="I552" t="s">
        <v>33</v>
      </c>
      <c r="J552" t="s">
        <v>2</v>
      </c>
      <c r="K552">
        <v>0</v>
      </c>
      <c r="M552">
        <v>0.16</v>
      </c>
      <c r="N552" t="s">
        <v>1166</v>
      </c>
      <c r="P552">
        <v>73493</v>
      </c>
      <c r="Q552">
        <v>-0.04</v>
      </c>
      <c r="R552">
        <v>0.86</v>
      </c>
      <c r="S552" t="b">
        <v>0</v>
      </c>
      <c r="T552">
        <v>2</v>
      </c>
      <c r="U552">
        <v>17</v>
      </c>
      <c r="V552" t="s">
        <v>0</v>
      </c>
    </row>
    <row r="553" spans="1:22" x14ac:dyDescent="0.25">
      <c r="A553" t="s">
        <v>1165</v>
      </c>
      <c r="B553">
        <v>2018</v>
      </c>
      <c r="C553" t="s">
        <v>29</v>
      </c>
      <c r="D553" t="s">
        <v>28</v>
      </c>
      <c r="E553" t="s">
        <v>42</v>
      </c>
      <c r="F553" t="s">
        <v>63</v>
      </c>
      <c r="G553" t="s">
        <v>5</v>
      </c>
      <c r="H553" t="s">
        <v>49</v>
      </c>
      <c r="I553" t="s">
        <v>74</v>
      </c>
      <c r="J553" t="s">
        <v>96</v>
      </c>
      <c r="K553">
        <v>0</v>
      </c>
      <c r="M553">
        <v>0</v>
      </c>
      <c r="N553" t="s">
        <v>1164</v>
      </c>
      <c r="P553">
        <v>49323</v>
      </c>
      <c r="Q553">
        <v>3.5</v>
      </c>
      <c r="R553">
        <v>0.72</v>
      </c>
      <c r="S553" t="b">
        <v>0</v>
      </c>
      <c r="T553">
        <v>1</v>
      </c>
      <c r="U553">
        <v>12</v>
      </c>
      <c r="V553" t="s">
        <v>0</v>
      </c>
    </row>
    <row r="554" spans="1:22" x14ac:dyDescent="0.25">
      <c r="A554" t="s">
        <v>1163</v>
      </c>
      <c r="B554">
        <v>2018</v>
      </c>
      <c r="C554" t="s">
        <v>233</v>
      </c>
      <c r="D554" t="s">
        <v>125</v>
      </c>
      <c r="E554" t="s">
        <v>182</v>
      </c>
      <c r="F554" t="s">
        <v>63</v>
      </c>
      <c r="G554" t="s">
        <v>5</v>
      </c>
      <c r="H554" t="s">
        <v>61</v>
      </c>
      <c r="I554" t="s">
        <v>74</v>
      </c>
      <c r="J554" t="s">
        <v>23</v>
      </c>
      <c r="K554">
        <v>1</v>
      </c>
      <c r="L554" t="s">
        <v>346</v>
      </c>
      <c r="M554">
        <v>0.71</v>
      </c>
      <c r="N554" t="s">
        <v>1162</v>
      </c>
      <c r="O554" t="s">
        <v>346</v>
      </c>
      <c r="P554">
        <v>31457</v>
      </c>
      <c r="Q554">
        <v>10.96</v>
      </c>
      <c r="R554">
        <v>0.11</v>
      </c>
      <c r="S554" t="b">
        <v>1</v>
      </c>
      <c r="T554">
        <v>3</v>
      </c>
      <c r="U554">
        <v>11</v>
      </c>
      <c r="V554" t="s">
        <v>0</v>
      </c>
    </row>
    <row r="555" spans="1:22" x14ac:dyDescent="0.25">
      <c r="A555" t="s">
        <v>1161</v>
      </c>
      <c r="B555">
        <v>2019</v>
      </c>
      <c r="C555" t="s">
        <v>316</v>
      </c>
      <c r="D555" t="s">
        <v>43</v>
      </c>
      <c r="E555" t="s">
        <v>219</v>
      </c>
      <c r="F555" t="s">
        <v>26</v>
      </c>
      <c r="G555" t="s">
        <v>25</v>
      </c>
      <c r="H555" t="s">
        <v>141</v>
      </c>
      <c r="I555" t="s">
        <v>97</v>
      </c>
      <c r="J555" t="s">
        <v>96</v>
      </c>
      <c r="K555">
        <v>1</v>
      </c>
      <c r="L555" t="s">
        <v>139</v>
      </c>
      <c r="M555">
        <v>0.52</v>
      </c>
      <c r="N555" t="s">
        <v>1160</v>
      </c>
      <c r="O555" t="s">
        <v>139</v>
      </c>
      <c r="P555">
        <v>97050</v>
      </c>
      <c r="Q555">
        <v>5.32</v>
      </c>
      <c r="R555">
        <v>0.17</v>
      </c>
      <c r="S555" t="b">
        <v>1</v>
      </c>
      <c r="T555">
        <v>1</v>
      </c>
      <c r="U555">
        <v>0</v>
      </c>
      <c r="V555" t="s">
        <v>0</v>
      </c>
    </row>
    <row r="556" spans="1:22" x14ac:dyDescent="0.25">
      <c r="A556" t="s">
        <v>1159</v>
      </c>
      <c r="B556">
        <v>2019</v>
      </c>
      <c r="C556" t="s">
        <v>152</v>
      </c>
      <c r="D556" t="s">
        <v>28</v>
      </c>
      <c r="E556" t="s">
        <v>130</v>
      </c>
      <c r="F556" t="s">
        <v>69</v>
      </c>
      <c r="G556" t="s">
        <v>25</v>
      </c>
      <c r="H556" t="s">
        <v>49</v>
      </c>
      <c r="I556" t="s">
        <v>90</v>
      </c>
      <c r="J556" t="s">
        <v>13</v>
      </c>
      <c r="K556">
        <v>1</v>
      </c>
      <c r="L556" t="s">
        <v>1086</v>
      </c>
      <c r="M556">
        <v>0.92</v>
      </c>
      <c r="N556" t="s">
        <v>232</v>
      </c>
      <c r="O556" t="s">
        <v>1086</v>
      </c>
      <c r="P556">
        <v>56598</v>
      </c>
      <c r="Q556">
        <v>12.7</v>
      </c>
      <c r="R556">
        <v>0.35</v>
      </c>
      <c r="S556" t="b">
        <v>1</v>
      </c>
      <c r="T556">
        <v>3</v>
      </c>
      <c r="U556">
        <v>11</v>
      </c>
      <c r="V556" t="s">
        <v>0</v>
      </c>
    </row>
    <row r="557" spans="1:22" x14ac:dyDescent="0.25">
      <c r="A557" t="s">
        <v>1158</v>
      </c>
      <c r="B557">
        <v>2019</v>
      </c>
      <c r="C557" t="s">
        <v>65</v>
      </c>
      <c r="D557" t="s">
        <v>64</v>
      </c>
      <c r="E557" t="s">
        <v>86</v>
      </c>
      <c r="F557" t="s">
        <v>63</v>
      </c>
      <c r="G557" t="s">
        <v>135</v>
      </c>
      <c r="H557" t="s">
        <v>15</v>
      </c>
      <c r="I557" t="s">
        <v>90</v>
      </c>
      <c r="J557" t="s">
        <v>79</v>
      </c>
      <c r="K557">
        <v>0</v>
      </c>
      <c r="M557">
        <v>0.1</v>
      </c>
      <c r="N557" t="s">
        <v>1157</v>
      </c>
      <c r="P557">
        <v>84431</v>
      </c>
      <c r="Q557">
        <v>2.63</v>
      </c>
      <c r="R557">
        <v>0.71</v>
      </c>
      <c r="S557" t="b">
        <v>0</v>
      </c>
      <c r="T557">
        <v>2</v>
      </c>
      <c r="U557">
        <v>12</v>
      </c>
      <c r="V557" t="s">
        <v>0</v>
      </c>
    </row>
    <row r="558" spans="1:22" x14ac:dyDescent="0.25">
      <c r="A558" t="s">
        <v>1156</v>
      </c>
      <c r="B558">
        <v>2019</v>
      </c>
      <c r="C558" t="s">
        <v>281</v>
      </c>
      <c r="D558" t="s">
        <v>91</v>
      </c>
      <c r="E558" t="s">
        <v>121</v>
      </c>
      <c r="F558" t="s">
        <v>75</v>
      </c>
      <c r="G558" t="s">
        <v>16</v>
      </c>
      <c r="H558" t="s">
        <v>179</v>
      </c>
      <c r="I558" t="s">
        <v>3</v>
      </c>
      <c r="J558" t="s">
        <v>23</v>
      </c>
      <c r="K558">
        <v>0</v>
      </c>
      <c r="M558">
        <v>0.04</v>
      </c>
      <c r="N558" t="s">
        <v>1155</v>
      </c>
      <c r="P558">
        <v>66485</v>
      </c>
      <c r="Q558">
        <v>-2.76</v>
      </c>
      <c r="R558">
        <v>0.63</v>
      </c>
      <c r="S558" t="b">
        <v>0</v>
      </c>
      <c r="T558">
        <v>3</v>
      </c>
      <c r="U558">
        <v>8</v>
      </c>
      <c r="V558" t="s">
        <v>0</v>
      </c>
    </row>
    <row r="559" spans="1:22" x14ac:dyDescent="0.25">
      <c r="A559" t="s">
        <v>1154</v>
      </c>
      <c r="B559">
        <v>2019</v>
      </c>
      <c r="C559" t="s">
        <v>245</v>
      </c>
      <c r="D559" t="s">
        <v>125</v>
      </c>
      <c r="E559" t="s">
        <v>86</v>
      </c>
      <c r="F559" t="s">
        <v>112</v>
      </c>
      <c r="G559" t="s">
        <v>135</v>
      </c>
      <c r="H559" t="s">
        <v>15</v>
      </c>
      <c r="I559" t="s">
        <v>3</v>
      </c>
      <c r="J559" t="s">
        <v>79</v>
      </c>
      <c r="K559">
        <v>0</v>
      </c>
      <c r="M559">
        <v>0.06</v>
      </c>
      <c r="N559" t="s">
        <v>1153</v>
      </c>
      <c r="P559">
        <v>24976</v>
      </c>
      <c r="Q559">
        <v>-0.31</v>
      </c>
      <c r="R559">
        <v>0.85</v>
      </c>
      <c r="S559" t="b">
        <v>0</v>
      </c>
      <c r="T559">
        <v>3</v>
      </c>
      <c r="U559">
        <v>15</v>
      </c>
      <c r="V559" t="s">
        <v>0</v>
      </c>
    </row>
    <row r="560" spans="1:22" x14ac:dyDescent="0.25">
      <c r="A560" t="s">
        <v>1152</v>
      </c>
      <c r="B560">
        <v>2019</v>
      </c>
      <c r="C560" t="s">
        <v>215</v>
      </c>
      <c r="D560" t="s">
        <v>91</v>
      </c>
      <c r="E560" t="s">
        <v>219</v>
      </c>
      <c r="F560" t="s">
        <v>55</v>
      </c>
      <c r="G560" t="s">
        <v>16</v>
      </c>
      <c r="H560" t="s">
        <v>15</v>
      </c>
      <c r="I560" t="s">
        <v>3</v>
      </c>
      <c r="J560" t="s">
        <v>13</v>
      </c>
      <c r="K560">
        <v>0</v>
      </c>
      <c r="M560">
        <v>0.19</v>
      </c>
      <c r="N560" t="s">
        <v>1151</v>
      </c>
      <c r="P560">
        <v>67708</v>
      </c>
      <c r="Q560">
        <v>-0.04</v>
      </c>
      <c r="R560">
        <v>0.79</v>
      </c>
      <c r="S560" t="b">
        <v>0</v>
      </c>
      <c r="T560">
        <v>3</v>
      </c>
      <c r="U560">
        <v>19</v>
      </c>
      <c r="V560" t="s">
        <v>0</v>
      </c>
    </row>
    <row r="561" spans="1:22" x14ac:dyDescent="0.25">
      <c r="A561" t="s">
        <v>1150</v>
      </c>
      <c r="B561">
        <v>2019</v>
      </c>
      <c r="C561" t="s">
        <v>161</v>
      </c>
      <c r="D561" t="s">
        <v>8</v>
      </c>
      <c r="E561" t="s">
        <v>86</v>
      </c>
      <c r="F561" t="s">
        <v>112</v>
      </c>
      <c r="G561" t="s">
        <v>16</v>
      </c>
      <c r="H561" t="s">
        <v>102</v>
      </c>
      <c r="I561" t="s">
        <v>68</v>
      </c>
      <c r="J561" t="s">
        <v>79</v>
      </c>
      <c r="K561">
        <v>1</v>
      </c>
      <c r="L561" t="s">
        <v>1148</v>
      </c>
      <c r="M561">
        <v>0.91</v>
      </c>
      <c r="N561" t="s">
        <v>1149</v>
      </c>
      <c r="O561" t="s">
        <v>1148</v>
      </c>
      <c r="P561">
        <v>38125</v>
      </c>
      <c r="Q561">
        <v>11.71</v>
      </c>
      <c r="R561">
        <v>0.27</v>
      </c>
      <c r="S561" t="b">
        <v>1</v>
      </c>
      <c r="T561">
        <v>3</v>
      </c>
      <c r="U561">
        <v>19</v>
      </c>
      <c r="V561" t="s">
        <v>0</v>
      </c>
    </row>
    <row r="562" spans="1:22" x14ac:dyDescent="0.25">
      <c r="A562" t="s">
        <v>1147</v>
      </c>
      <c r="B562">
        <v>2019</v>
      </c>
      <c r="C562" t="s">
        <v>333</v>
      </c>
      <c r="D562" t="s">
        <v>28</v>
      </c>
      <c r="E562" t="s">
        <v>86</v>
      </c>
      <c r="F562" t="s">
        <v>6</v>
      </c>
      <c r="G562" t="s">
        <v>135</v>
      </c>
      <c r="H562" t="s">
        <v>179</v>
      </c>
      <c r="I562" t="s">
        <v>68</v>
      </c>
      <c r="J562" t="s">
        <v>96</v>
      </c>
      <c r="K562">
        <v>0</v>
      </c>
      <c r="M562">
        <v>0.15</v>
      </c>
      <c r="N562" t="s">
        <v>1146</v>
      </c>
      <c r="P562">
        <v>43608</v>
      </c>
      <c r="Q562">
        <v>1.39</v>
      </c>
      <c r="R562">
        <v>0.75</v>
      </c>
      <c r="S562" t="b">
        <v>0</v>
      </c>
      <c r="T562">
        <v>1</v>
      </c>
      <c r="U562">
        <v>0</v>
      </c>
      <c r="V562" t="s">
        <v>0</v>
      </c>
    </row>
    <row r="563" spans="1:22" x14ac:dyDescent="0.25">
      <c r="A563" t="s">
        <v>1145</v>
      </c>
      <c r="B563">
        <v>2019</v>
      </c>
      <c r="C563" t="s">
        <v>171</v>
      </c>
      <c r="D563" t="s">
        <v>57</v>
      </c>
      <c r="E563" t="s">
        <v>36</v>
      </c>
      <c r="F563" t="s">
        <v>103</v>
      </c>
      <c r="G563" t="s">
        <v>135</v>
      </c>
      <c r="H563" t="s">
        <v>85</v>
      </c>
      <c r="I563" t="s">
        <v>33</v>
      </c>
      <c r="J563" t="s">
        <v>13</v>
      </c>
      <c r="K563">
        <v>1</v>
      </c>
      <c r="L563" t="s">
        <v>1143</v>
      </c>
      <c r="M563">
        <v>0.43</v>
      </c>
      <c r="N563" t="s">
        <v>1144</v>
      </c>
      <c r="O563" t="s">
        <v>1143</v>
      </c>
      <c r="P563">
        <v>98366</v>
      </c>
      <c r="Q563">
        <v>6.14</v>
      </c>
      <c r="R563">
        <v>0.35</v>
      </c>
      <c r="S563" t="b">
        <v>1</v>
      </c>
      <c r="T563">
        <v>1</v>
      </c>
      <c r="U563">
        <v>9</v>
      </c>
      <c r="V563" t="s">
        <v>0</v>
      </c>
    </row>
    <row r="564" spans="1:22" x14ac:dyDescent="0.25">
      <c r="A564" t="s">
        <v>1142</v>
      </c>
      <c r="B564">
        <v>2019</v>
      </c>
      <c r="C564" t="s">
        <v>382</v>
      </c>
      <c r="D564" t="s">
        <v>125</v>
      </c>
      <c r="E564" t="s">
        <v>116</v>
      </c>
      <c r="F564" t="s">
        <v>156</v>
      </c>
      <c r="G564" t="s">
        <v>5</v>
      </c>
      <c r="H564" t="s">
        <v>85</v>
      </c>
      <c r="I564" t="s">
        <v>24</v>
      </c>
      <c r="J564" t="s">
        <v>23</v>
      </c>
      <c r="K564">
        <v>0</v>
      </c>
      <c r="M564">
        <v>0.17</v>
      </c>
      <c r="N564" t="s">
        <v>1141</v>
      </c>
      <c r="P564">
        <v>22578</v>
      </c>
      <c r="Q564">
        <v>-2.82</v>
      </c>
      <c r="R564">
        <v>0.69</v>
      </c>
      <c r="S564" t="b">
        <v>0</v>
      </c>
      <c r="T564">
        <v>2</v>
      </c>
      <c r="U564">
        <v>2</v>
      </c>
      <c r="V564" t="s">
        <v>0</v>
      </c>
    </row>
    <row r="565" spans="1:22" x14ac:dyDescent="0.25">
      <c r="A565" t="s">
        <v>1140</v>
      </c>
      <c r="B565">
        <v>2019</v>
      </c>
      <c r="C565" t="s">
        <v>311</v>
      </c>
      <c r="D565" t="s">
        <v>125</v>
      </c>
      <c r="E565" t="s">
        <v>36</v>
      </c>
      <c r="F565" t="s">
        <v>26</v>
      </c>
      <c r="G565" t="s">
        <v>62</v>
      </c>
      <c r="H565" t="s">
        <v>61</v>
      </c>
      <c r="I565" t="s">
        <v>68</v>
      </c>
      <c r="J565" t="s">
        <v>23</v>
      </c>
      <c r="K565">
        <v>0</v>
      </c>
      <c r="M565">
        <v>0.12</v>
      </c>
      <c r="N565" t="s">
        <v>1139</v>
      </c>
      <c r="P565">
        <v>22611</v>
      </c>
      <c r="Q565">
        <v>-3.82</v>
      </c>
      <c r="R565">
        <v>0.62</v>
      </c>
      <c r="S565" t="b">
        <v>0</v>
      </c>
      <c r="T565">
        <v>2</v>
      </c>
      <c r="U565">
        <v>1</v>
      </c>
      <c r="V565" t="s">
        <v>0</v>
      </c>
    </row>
    <row r="566" spans="1:22" x14ac:dyDescent="0.25">
      <c r="A566" t="s">
        <v>1138</v>
      </c>
      <c r="B566">
        <v>2019</v>
      </c>
      <c r="C566" t="s">
        <v>267</v>
      </c>
      <c r="D566" t="s">
        <v>43</v>
      </c>
      <c r="E566" t="s">
        <v>56</v>
      </c>
      <c r="F566" t="s">
        <v>35</v>
      </c>
      <c r="G566" t="s">
        <v>62</v>
      </c>
      <c r="H566" t="s">
        <v>141</v>
      </c>
      <c r="I566" t="s">
        <v>74</v>
      </c>
      <c r="J566" t="s">
        <v>23</v>
      </c>
      <c r="K566">
        <v>0</v>
      </c>
      <c r="M566">
        <v>0.19</v>
      </c>
      <c r="N566" t="s">
        <v>1137</v>
      </c>
      <c r="P566">
        <v>79230</v>
      </c>
      <c r="Q566">
        <v>-2.99</v>
      </c>
      <c r="R566">
        <v>0.79</v>
      </c>
      <c r="S566" t="b">
        <v>0</v>
      </c>
      <c r="T566">
        <v>3</v>
      </c>
      <c r="U566">
        <v>13</v>
      </c>
      <c r="V566" t="s">
        <v>0</v>
      </c>
    </row>
    <row r="567" spans="1:22" x14ac:dyDescent="0.25">
      <c r="A567" t="s">
        <v>1136</v>
      </c>
      <c r="B567">
        <v>2019</v>
      </c>
      <c r="C567" t="s">
        <v>51</v>
      </c>
      <c r="D567" t="s">
        <v>18</v>
      </c>
      <c r="E567" t="s">
        <v>42</v>
      </c>
      <c r="F567" t="s">
        <v>26</v>
      </c>
      <c r="G567" t="s">
        <v>62</v>
      </c>
      <c r="H567" t="s">
        <v>34</v>
      </c>
      <c r="I567" t="s">
        <v>14</v>
      </c>
      <c r="J567" t="s">
        <v>13</v>
      </c>
      <c r="K567">
        <v>1</v>
      </c>
      <c r="L567" t="s">
        <v>1015</v>
      </c>
      <c r="M567">
        <v>0.52</v>
      </c>
      <c r="N567" t="s">
        <v>1135</v>
      </c>
      <c r="O567" t="s">
        <v>1015</v>
      </c>
      <c r="P567">
        <v>107610</v>
      </c>
      <c r="Q567">
        <v>7.53</v>
      </c>
      <c r="R567">
        <v>0.15</v>
      </c>
      <c r="S567" t="b">
        <v>1</v>
      </c>
      <c r="T567">
        <v>3</v>
      </c>
      <c r="U567">
        <v>15</v>
      </c>
      <c r="V567" t="s">
        <v>0</v>
      </c>
    </row>
    <row r="568" spans="1:22" x14ac:dyDescent="0.25">
      <c r="A568" t="s">
        <v>1134</v>
      </c>
      <c r="B568">
        <v>2019</v>
      </c>
      <c r="C568" t="s">
        <v>311</v>
      </c>
      <c r="D568" t="s">
        <v>125</v>
      </c>
      <c r="E568" t="s">
        <v>86</v>
      </c>
      <c r="F568" t="s">
        <v>115</v>
      </c>
      <c r="G568" t="s">
        <v>16</v>
      </c>
      <c r="H568" t="s">
        <v>34</v>
      </c>
      <c r="I568" t="s">
        <v>74</v>
      </c>
      <c r="J568" t="s">
        <v>13</v>
      </c>
      <c r="K568">
        <v>0</v>
      </c>
      <c r="M568">
        <v>0.1</v>
      </c>
      <c r="N568" t="s">
        <v>1133</v>
      </c>
      <c r="P568">
        <v>24220</v>
      </c>
      <c r="Q568">
        <v>1.1499999999999999</v>
      </c>
      <c r="R568">
        <v>0.8</v>
      </c>
      <c r="S568" t="b">
        <v>0</v>
      </c>
      <c r="T568">
        <v>1</v>
      </c>
      <c r="U568">
        <v>16</v>
      </c>
      <c r="V568" t="s">
        <v>0</v>
      </c>
    </row>
    <row r="569" spans="1:22" x14ac:dyDescent="0.25">
      <c r="A569" t="s">
        <v>1132</v>
      </c>
      <c r="B569">
        <v>2019</v>
      </c>
      <c r="C569" t="s">
        <v>58</v>
      </c>
      <c r="D569" t="s">
        <v>57</v>
      </c>
      <c r="E569" t="s">
        <v>182</v>
      </c>
      <c r="F569" t="s">
        <v>112</v>
      </c>
      <c r="G569" t="s">
        <v>16</v>
      </c>
      <c r="H569" t="s">
        <v>179</v>
      </c>
      <c r="I569" t="s">
        <v>90</v>
      </c>
      <c r="J569" t="s">
        <v>79</v>
      </c>
      <c r="K569">
        <v>0</v>
      </c>
      <c r="M569">
        <v>0.19</v>
      </c>
      <c r="N569" t="s">
        <v>1131</v>
      </c>
      <c r="P569">
        <v>91864</v>
      </c>
      <c r="Q569">
        <v>3.13</v>
      </c>
      <c r="R569">
        <v>0.77</v>
      </c>
      <c r="S569" t="b">
        <v>0</v>
      </c>
      <c r="T569">
        <v>1</v>
      </c>
      <c r="U569">
        <v>15</v>
      </c>
      <c r="V569" t="s">
        <v>0</v>
      </c>
    </row>
    <row r="570" spans="1:22" x14ac:dyDescent="0.25">
      <c r="A570" t="s">
        <v>1130</v>
      </c>
      <c r="B570">
        <v>2019</v>
      </c>
      <c r="C570" t="s">
        <v>176</v>
      </c>
      <c r="D570" t="s">
        <v>64</v>
      </c>
      <c r="E570" t="s">
        <v>116</v>
      </c>
      <c r="F570" t="s">
        <v>75</v>
      </c>
      <c r="G570" t="s">
        <v>5</v>
      </c>
      <c r="H570" t="s">
        <v>179</v>
      </c>
      <c r="I570" t="s">
        <v>3</v>
      </c>
      <c r="J570" t="s">
        <v>79</v>
      </c>
      <c r="K570">
        <v>1</v>
      </c>
      <c r="L570" t="s">
        <v>196</v>
      </c>
      <c r="M570">
        <v>0.78</v>
      </c>
      <c r="N570" t="s">
        <v>1129</v>
      </c>
      <c r="O570" t="s">
        <v>196</v>
      </c>
      <c r="P570">
        <v>119060</v>
      </c>
      <c r="Q570">
        <v>8.93</v>
      </c>
      <c r="R570">
        <v>0.4</v>
      </c>
      <c r="S570" t="b">
        <v>1</v>
      </c>
      <c r="T570">
        <v>1</v>
      </c>
      <c r="U570">
        <v>10</v>
      </c>
      <c r="V570" t="s">
        <v>0</v>
      </c>
    </row>
    <row r="571" spans="1:22" x14ac:dyDescent="0.25">
      <c r="A571" t="s">
        <v>1128</v>
      </c>
      <c r="B571">
        <v>2019</v>
      </c>
      <c r="C571" t="s">
        <v>92</v>
      </c>
      <c r="D571" t="s">
        <v>91</v>
      </c>
      <c r="E571" t="s">
        <v>7</v>
      </c>
      <c r="F571" t="s">
        <v>55</v>
      </c>
      <c r="G571" t="s">
        <v>25</v>
      </c>
      <c r="H571" t="s">
        <v>85</v>
      </c>
      <c r="I571" t="s">
        <v>68</v>
      </c>
      <c r="J571" t="s">
        <v>73</v>
      </c>
      <c r="K571">
        <v>0</v>
      </c>
      <c r="M571">
        <v>0.15</v>
      </c>
      <c r="N571" t="s">
        <v>1127</v>
      </c>
      <c r="P571">
        <v>56143</v>
      </c>
      <c r="Q571">
        <v>-1.67</v>
      </c>
      <c r="R571">
        <v>0.72</v>
      </c>
      <c r="S571" t="b">
        <v>0</v>
      </c>
      <c r="T571">
        <v>2</v>
      </c>
      <c r="U571">
        <v>4</v>
      </c>
      <c r="V571" t="s">
        <v>0</v>
      </c>
    </row>
    <row r="572" spans="1:22" x14ac:dyDescent="0.25">
      <c r="A572" t="s">
        <v>1126</v>
      </c>
      <c r="B572">
        <v>2019</v>
      </c>
      <c r="C572" t="s">
        <v>29</v>
      </c>
      <c r="D572" t="s">
        <v>28</v>
      </c>
      <c r="E572" t="s">
        <v>182</v>
      </c>
      <c r="F572" t="s">
        <v>75</v>
      </c>
      <c r="G572" t="s">
        <v>25</v>
      </c>
      <c r="H572" t="s">
        <v>102</v>
      </c>
      <c r="I572" t="s">
        <v>90</v>
      </c>
      <c r="J572" t="s">
        <v>73</v>
      </c>
      <c r="K572">
        <v>0</v>
      </c>
      <c r="M572">
        <v>7.0000000000000007E-2</v>
      </c>
      <c r="N572" t="s">
        <v>1125</v>
      </c>
      <c r="P572">
        <v>49639</v>
      </c>
      <c r="Q572">
        <v>-3.97</v>
      </c>
      <c r="R572">
        <v>0.83</v>
      </c>
      <c r="S572" t="b">
        <v>0</v>
      </c>
      <c r="T572">
        <v>2</v>
      </c>
      <c r="U572">
        <v>17</v>
      </c>
      <c r="V572" t="s">
        <v>0</v>
      </c>
    </row>
    <row r="573" spans="1:22" x14ac:dyDescent="0.25">
      <c r="A573" t="s">
        <v>1124</v>
      </c>
      <c r="B573">
        <v>2019</v>
      </c>
      <c r="C573" t="s">
        <v>358</v>
      </c>
      <c r="D573" t="s">
        <v>131</v>
      </c>
      <c r="E573" t="s">
        <v>116</v>
      </c>
      <c r="F573" t="s">
        <v>69</v>
      </c>
      <c r="G573" t="s">
        <v>25</v>
      </c>
      <c r="H573" t="s">
        <v>179</v>
      </c>
      <c r="I573" t="s">
        <v>14</v>
      </c>
      <c r="J573" t="s">
        <v>79</v>
      </c>
      <c r="K573">
        <v>0</v>
      </c>
      <c r="M573">
        <v>0.1</v>
      </c>
      <c r="N573" t="s">
        <v>1123</v>
      </c>
      <c r="P573">
        <v>37021</v>
      </c>
      <c r="Q573">
        <v>2.14</v>
      </c>
      <c r="R573">
        <v>0.63</v>
      </c>
      <c r="S573" t="b">
        <v>0</v>
      </c>
      <c r="T573">
        <v>1</v>
      </c>
      <c r="U573">
        <v>15</v>
      </c>
      <c r="V573" t="s">
        <v>0</v>
      </c>
    </row>
    <row r="574" spans="1:22" x14ac:dyDescent="0.25">
      <c r="A574" t="s">
        <v>1122</v>
      </c>
      <c r="B574">
        <v>2019</v>
      </c>
      <c r="C574" t="s">
        <v>51</v>
      </c>
      <c r="D574" t="s">
        <v>18</v>
      </c>
      <c r="E574" t="s">
        <v>86</v>
      </c>
      <c r="F574" t="s">
        <v>26</v>
      </c>
      <c r="G574" t="s">
        <v>25</v>
      </c>
      <c r="H574" t="s">
        <v>15</v>
      </c>
      <c r="I574" t="s">
        <v>33</v>
      </c>
      <c r="J574" t="s">
        <v>2</v>
      </c>
      <c r="K574">
        <v>0</v>
      </c>
      <c r="M574">
        <v>0.16</v>
      </c>
      <c r="N574" t="s">
        <v>1121</v>
      </c>
      <c r="P574">
        <v>79627</v>
      </c>
      <c r="Q574">
        <v>-4.84</v>
      </c>
      <c r="R574">
        <v>0.7</v>
      </c>
      <c r="S574" t="b">
        <v>0</v>
      </c>
      <c r="T574">
        <v>2</v>
      </c>
      <c r="U574">
        <v>0</v>
      </c>
      <c r="V574" t="s">
        <v>0</v>
      </c>
    </row>
    <row r="575" spans="1:22" x14ac:dyDescent="0.25">
      <c r="A575" t="s">
        <v>1120</v>
      </c>
      <c r="B575">
        <v>2019</v>
      </c>
      <c r="C575" t="s">
        <v>58</v>
      </c>
      <c r="D575" t="s">
        <v>57</v>
      </c>
      <c r="E575" t="s">
        <v>182</v>
      </c>
      <c r="F575" t="s">
        <v>41</v>
      </c>
      <c r="G575" t="s">
        <v>16</v>
      </c>
      <c r="H575" t="s">
        <v>49</v>
      </c>
      <c r="I575" t="s">
        <v>3</v>
      </c>
      <c r="J575" t="s">
        <v>23</v>
      </c>
      <c r="K575">
        <v>1</v>
      </c>
      <c r="L575" t="s">
        <v>1118</v>
      </c>
      <c r="M575">
        <v>0.4</v>
      </c>
      <c r="N575" t="s">
        <v>1119</v>
      </c>
      <c r="O575" t="s">
        <v>1118</v>
      </c>
      <c r="P575">
        <v>123838</v>
      </c>
      <c r="Q575">
        <v>17.68</v>
      </c>
      <c r="R575">
        <v>0.2</v>
      </c>
      <c r="S575" t="b">
        <v>1</v>
      </c>
      <c r="T575">
        <v>1</v>
      </c>
      <c r="U575">
        <v>15</v>
      </c>
      <c r="V575" t="s">
        <v>0</v>
      </c>
    </row>
    <row r="576" spans="1:22" x14ac:dyDescent="0.25">
      <c r="A576" t="s">
        <v>1117</v>
      </c>
      <c r="B576">
        <v>2019</v>
      </c>
      <c r="C576" t="s">
        <v>311</v>
      </c>
      <c r="D576" t="s">
        <v>125</v>
      </c>
      <c r="E576" t="s">
        <v>36</v>
      </c>
      <c r="F576" t="s">
        <v>112</v>
      </c>
      <c r="G576" t="s">
        <v>16</v>
      </c>
      <c r="H576" t="s">
        <v>49</v>
      </c>
      <c r="I576" t="s">
        <v>3</v>
      </c>
      <c r="J576" t="s">
        <v>13</v>
      </c>
      <c r="K576">
        <v>0</v>
      </c>
      <c r="M576">
        <v>0.02</v>
      </c>
      <c r="N576" t="s">
        <v>1116</v>
      </c>
      <c r="P576">
        <v>20595</v>
      </c>
      <c r="Q576">
        <v>0.38</v>
      </c>
      <c r="R576">
        <v>0.61</v>
      </c>
      <c r="S576" t="b">
        <v>0</v>
      </c>
      <c r="T576">
        <v>2</v>
      </c>
      <c r="U576">
        <v>18</v>
      </c>
      <c r="V576" t="s">
        <v>0</v>
      </c>
    </row>
    <row r="577" spans="1:22" x14ac:dyDescent="0.25">
      <c r="A577" t="s">
        <v>1115</v>
      </c>
      <c r="B577">
        <v>2019</v>
      </c>
      <c r="C577" t="s">
        <v>126</v>
      </c>
      <c r="D577" t="s">
        <v>125</v>
      </c>
      <c r="E577" t="s">
        <v>56</v>
      </c>
      <c r="F577" t="s">
        <v>108</v>
      </c>
      <c r="G577" t="s">
        <v>5</v>
      </c>
      <c r="H577" t="s">
        <v>61</v>
      </c>
      <c r="I577" t="s">
        <v>68</v>
      </c>
      <c r="J577" t="s">
        <v>13</v>
      </c>
      <c r="K577">
        <v>1</v>
      </c>
      <c r="L577" t="s">
        <v>47</v>
      </c>
      <c r="M577">
        <v>0.51</v>
      </c>
      <c r="N577" t="s">
        <v>1114</v>
      </c>
      <c r="O577" t="s">
        <v>47</v>
      </c>
      <c r="P577">
        <v>31163</v>
      </c>
      <c r="Q577">
        <v>15.71</v>
      </c>
      <c r="R577">
        <v>0.28999999999999998</v>
      </c>
      <c r="S577" t="b">
        <v>1</v>
      </c>
      <c r="T577">
        <v>2</v>
      </c>
      <c r="U577">
        <v>14</v>
      </c>
      <c r="V577" t="s">
        <v>0</v>
      </c>
    </row>
    <row r="578" spans="1:22" x14ac:dyDescent="0.25">
      <c r="A578" t="s">
        <v>1113</v>
      </c>
      <c r="B578">
        <v>2019</v>
      </c>
      <c r="C578" t="s">
        <v>152</v>
      </c>
      <c r="D578" t="s">
        <v>28</v>
      </c>
      <c r="E578" t="s">
        <v>17</v>
      </c>
      <c r="F578" t="s">
        <v>108</v>
      </c>
      <c r="G578" t="s">
        <v>135</v>
      </c>
      <c r="H578" t="s">
        <v>4</v>
      </c>
      <c r="I578" t="s">
        <v>33</v>
      </c>
      <c r="J578" t="s">
        <v>2</v>
      </c>
      <c r="K578">
        <v>0</v>
      </c>
      <c r="M578">
        <v>0.16</v>
      </c>
      <c r="N578" t="s">
        <v>1112</v>
      </c>
      <c r="P578">
        <v>45293</v>
      </c>
      <c r="Q578">
        <v>1.63</v>
      </c>
      <c r="R578">
        <v>0.66</v>
      </c>
      <c r="S578" t="b">
        <v>0</v>
      </c>
      <c r="T578">
        <v>2</v>
      </c>
      <c r="U578">
        <v>11</v>
      </c>
      <c r="V578" t="s">
        <v>0</v>
      </c>
    </row>
    <row r="579" spans="1:22" x14ac:dyDescent="0.25">
      <c r="A579" t="s">
        <v>1111</v>
      </c>
      <c r="B579">
        <v>2019</v>
      </c>
      <c r="C579" t="s">
        <v>304</v>
      </c>
      <c r="D579" t="s">
        <v>131</v>
      </c>
      <c r="E579" t="s">
        <v>116</v>
      </c>
      <c r="F579" t="s">
        <v>112</v>
      </c>
      <c r="G579" t="s">
        <v>62</v>
      </c>
      <c r="H579" t="s">
        <v>15</v>
      </c>
      <c r="I579" t="s">
        <v>40</v>
      </c>
      <c r="J579" t="s">
        <v>2</v>
      </c>
      <c r="K579">
        <v>0</v>
      </c>
      <c r="M579">
        <v>0.1</v>
      </c>
      <c r="N579" t="s">
        <v>1110</v>
      </c>
      <c r="P579">
        <v>40614</v>
      </c>
      <c r="Q579">
        <v>1.06</v>
      </c>
      <c r="R579">
        <v>0.83</v>
      </c>
      <c r="S579" t="b">
        <v>0</v>
      </c>
      <c r="T579">
        <v>2</v>
      </c>
      <c r="U579">
        <v>17</v>
      </c>
      <c r="V579" t="s">
        <v>0</v>
      </c>
    </row>
    <row r="580" spans="1:22" x14ac:dyDescent="0.25">
      <c r="A580" t="s">
        <v>1109</v>
      </c>
      <c r="B580">
        <v>2019</v>
      </c>
      <c r="C580" t="s">
        <v>176</v>
      </c>
      <c r="D580" t="s">
        <v>64</v>
      </c>
      <c r="E580" t="s">
        <v>50</v>
      </c>
      <c r="F580" t="s">
        <v>136</v>
      </c>
      <c r="G580" t="s">
        <v>25</v>
      </c>
      <c r="H580" t="s">
        <v>61</v>
      </c>
      <c r="I580" t="s">
        <v>90</v>
      </c>
      <c r="J580" t="s">
        <v>73</v>
      </c>
      <c r="K580">
        <v>0</v>
      </c>
      <c r="M580">
        <v>0.15</v>
      </c>
      <c r="N580" t="s">
        <v>1108</v>
      </c>
      <c r="P580">
        <v>83864</v>
      </c>
      <c r="Q580">
        <v>3.85</v>
      </c>
      <c r="R580">
        <v>0.83</v>
      </c>
      <c r="S580" t="b">
        <v>0</v>
      </c>
      <c r="T580">
        <v>3</v>
      </c>
      <c r="U580">
        <v>17</v>
      </c>
      <c r="V580" t="s">
        <v>0</v>
      </c>
    </row>
    <row r="581" spans="1:22" x14ac:dyDescent="0.25">
      <c r="A581" t="s">
        <v>1107</v>
      </c>
      <c r="B581">
        <v>2019</v>
      </c>
      <c r="C581" t="s">
        <v>157</v>
      </c>
      <c r="D581" t="s">
        <v>18</v>
      </c>
      <c r="E581" t="s">
        <v>147</v>
      </c>
      <c r="F581" t="s">
        <v>41</v>
      </c>
      <c r="G581" t="s">
        <v>5</v>
      </c>
      <c r="H581" t="s">
        <v>61</v>
      </c>
      <c r="I581" t="s">
        <v>14</v>
      </c>
      <c r="J581" t="s">
        <v>73</v>
      </c>
      <c r="K581">
        <v>0</v>
      </c>
      <c r="M581">
        <v>0.19</v>
      </c>
      <c r="N581" t="s">
        <v>1106</v>
      </c>
      <c r="P581">
        <v>67211</v>
      </c>
      <c r="Q581">
        <v>0.51</v>
      </c>
      <c r="R581">
        <v>0.64</v>
      </c>
      <c r="S581" t="b">
        <v>0</v>
      </c>
      <c r="T581">
        <v>3</v>
      </c>
      <c r="U581">
        <v>10</v>
      </c>
      <c r="V581" t="s">
        <v>0</v>
      </c>
    </row>
    <row r="582" spans="1:22" x14ac:dyDescent="0.25">
      <c r="A582" t="s">
        <v>1105</v>
      </c>
      <c r="B582">
        <v>2019</v>
      </c>
      <c r="C582" t="s">
        <v>382</v>
      </c>
      <c r="D582" t="s">
        <v>125</v>
      </c>
      <c r="E582" t="s">
        <v>42</v>
      </c>
      <c r="F582" t="s">
        <v>108</v>
      </c>
      <c r="G582" t="s">
        <v>135</v>
      </c>
      <c r="H582" t="s">
        <v>15</v>
      </c>
      <c r="I582" t="s">
        <v>24</v>
      </c>
      <c r="J582" t="s">
        <v>79</v>
      </c>
      <c r="K582">
        <v>1</v>
      </c>
      <c r="L582" t="s">
        <v>1103</v>
      </c>
      <c r="M582">
        <v>0.49</v>
      </c>
      <c r="N582" t="s">
        <v>1104</v>
      </c>
      <c r="O582" t="s">
        <v>1103</v>
      </c>
      <c r="P582">
        <v>31441</v>
      </c>
      <c r="Q582">
        <v>11.57</v>
      </c>
      <c r="R582">
        <v>0.32</v>
      </c>
      <c r="S582" t="b">
        <v>1</v>
      </c>
      <c r="T582">
        <v>2</v>
      </c>
      <c r="U582">
        <v>12</v>
      </c>
      <c r="V582" t="s">
        <v>0</v>
      </c>
    </row>
    <row r="583" spans="1:22" x14ac:dyDescent="0.25">
      <c r="A583" t="s">
        <v>1102</v>
      </c>
      <c r="B583">
        <v>2019</v>
      </c>
      <c r="C583" t="s">
        <v>157</v>
      </c>
      <c r="D583" t="s">
        <v>18</v>
      </c>
      <c r="E583" t="s">
        <v>182</v>
      </c>
      <c r="F583" t="s">
        <v>41</v>
      </c>
      <c r="G583" t="s">
        <v>62</v>
      </c>
      <c r="H583" t="s">
        <v>49</v>
      </c>
      <c r="I583" t="s">
        <v>24</v>
      </c>
      <c r="J583" t="s">
        <v>79</v>
      </c>
      <c r="K583">
        <v>1</v>
      </c>
      <c r="L583" t="s">
        <v>1100</v>
      </c>
      <c r="M583">
        <v>0.8</v>
      </c>
      <c r="N583" t="s">
        <v>1101</v>
      </c>
      <c r="O583" t="s">
        <v>1100</v>
      </c>
      <c r="P583">
        <v>110841</v>
      </c>
      <c r="Q583">
        <v>7.15</v>
      </c>
      <c r="R583">
        <v>0.12</v>
      </c>
      <c r="S583" t="b">
        <v>1</v>
      </c>
      <c r="T583">
        <v>1</v>
      </c>
      <c r="U583">
        <v>19</v>
      </c>
      <c r="V583" t="s">
        <v>0</v>
      </c>
    </row>
    <row r="584" spans="1:22" x14ac:dyDescent="0.25">
      <c r="A584" t="s">
        <v>1099</v>
      </c>
      <c r="B584">
        <v>2019</v>
      </c>
      <c r="C584" t="s">
        <v>81</v>
      </c>
      <c r="D584" t="s">
        <v>28</v>
      </c>
      <c r="E584" t="s">
        <v>27</v>
      </c>
      <c r="F584" t="s">
        <v>41</v>
      </c>
      <c r="G584" t="s">
        <v>62</v>
      </c>
      <c r="H584" t="s">
        <v>85</v>
      </c>
      <c r="I584" t="s">
        <v>40</v>
      </c>
      <c r="J584" t="s">
        <v>96</v>
      </c>
      <c r="K584">
        <v>0</v>
      </c>
      <c r="M584">
        <v>0.08</v>
      </c>
      <c r="N584" t="s">
        <v>1098</v>
      </c>
      <c r="P584">
        <v>45202</v>
      </c>
      <c r="Q584">
        <v>-1.87</v>
      </c>
      <c r="R584">
        <v>0.78</v>
      </c>
      <c r="S584" t="b">
        <v>0</v>
      </c>
      <c r="T584">
        <v>1</v>
      </c>
      <c r="U584">
        <v>1</v>
      </c>
      <c r="V584" t="s">
        <v>0</v>
      </c>
    </row>
    <row r="585" spans="1:22" x14ac:dyDescent="0.25">
      <c r="A585" t="s">
        <v>1097</v>
      </c>
      <c r="B585">
        <v>2019</v>
      </c>
      <c r="C585" t="s">
        <v>98</v>
      </c>
      <c r="D585" t="s">
        <v>43</v>
      </c>
      <c r="E585" t="s">
        <v>147</v>
      </c>
      <c r="F585" t="s">
        <v>35</v>
      </c>
      <c r="G585" t="s">
        <v>25</v>
      </c>
      <c r="H585" t="s">
        <v>141</v>
      </c>
      <c r="I585" t="s">
        <v>24</v>
      </c>
      <c r="J585" t="s">
        <v>79</v>
      </c>
      <c r="K585">
        <v>1</v>
      </c>
      <c r="L585" t="s">
        <v>47</v>
      </c>
      <c r="M585">
        <v>0.55000000000000004</v>
      </c>
      <c r="N585" t="s">
        <v>1096</v>
      </c>
      <c r="O585" t="s">
        <v>47</v>
      </c>
      <c r="P585">
        <v>122551</v>
      </c>
      <c r="Q585">
        <v>7.56</v>
      </c>
      <c r="R585">
        <v>0.28000000000000003</v>
      </c>
      <c r="S585" t="b">
        <v>1</v>
      </c>
      <c r="T585">
        <v>2</v>
      </c>
      <c r="U585">
        <v>9</v>
      </c>
      <c r="V585" t="s">
        <v>0</v>
      </c>
    </row>
    <row r="586" spans="1:22" x14ac:dyDescent="0.25">
      <c r="A586" t="s">
        <v>1095</v>
      </c>
      <c r="B586">
        <v>2019</v>
      </c>
      <c r="C586" t="s">
        <v>152</v>
      </c>
      <c r="D586" t="s">
        <v>28</v>
      </c>
      <c r="E586" t="s">
        <v>56</v>
      </c>
      <c r="F586" t="s">
        <v>80</v>
      </c>
      <c r="G586" t="s">
        <v>25</v>
      </c>
      <c r="H586" t="s">
        <v>49</v>
      </c>
      <c r="I586" t="s">
        <v>107</v>
      </c>
      <c r="J586" t="s">
        <v>79</v>
      </c>
      <c r="K586">
        <v>1</v>
      </c>
      <c r="L586" t="s">
        <v>1093</v>
      </c>
      <c r="M586">
        <v>0.7</v>
      </c>
      <c r="N586" t="s">
        <v>1094</v>
      </c>
      <c r="O586" t="s">
        <v>1093</v>
      </c>
      <c r="P586">
        <v>69544</v>
      </c>
      <c r="Q586">
        <v>12.58</v>
      </c>
      <c r="R586">
        <v>0.38</v>
      </c>
      <c r="S586" t="b">
        <v>1</v>
      </c>
      <c r="T586">
        <v>3</v>
      </c>
      <c r="U586">
        <v>10</v>
      </c>
      <c r="V586" t="s">
        <v>0</v>
      </c>
    </row>
    <row r="587" spans="1:22" x14ac:dyDescent="0.25">
      <c r="A587" t="s">
        <v>1092</v>
      </c>
      <c r="B587">
        <v>2019</v>
      </c>
      <c r="C587" t="s">
        <v>58</v>
      </c>
      <c r="D587" t="s">
        <v>57</v>
      </c>
      <c r="E587" t="s">
        <v>121</v>
      </c>
      <c r="F587" t="s">
        <v>35</v>
      </c>
      <c r="G587" t="s">
        <v>25</v>
      </c>
      <c r="H587" t="s">
        <v>102</v>
      </c>
      <c r="I587" t="s">
        <v>24</v>
      </c>
      <c r="J587" t="s">
        <v>73</v>
      </c>
      <c r="K587">
        <v>0</v>
      </c>
      <c r="M587">
        <v>0.19</v>
      </c>
      <c r="N587" t="s">
        <v>1091</v>
      </c>
      <c r="P587">
        <v>92704</v>
      </c>
      <c r="Q587">
        <v>2.54</v>
      </c>
      <c r="R587">
        <v>0.7</v>
      </c>
      <c r="S587" t="b">
        <v>0</v>
      </c>
      <c r="T587">
        <v>3</v>
      </c>
      <c r="U587">
        <v>14</v>
      </c>
      <c r="V587" t="s">
        <v>0</v>
      </c>
    </row>
    <row r="588" spans="1:22" x14ac:dyDescent="0.25">
      <c r="A588" t="s">
        <v>1090</v>
      </c>
      <c r="B588">
        <v>2019</v>
      </c>
      <c r="C588" t="s">
        <v>157</v>
      </c>
      <c r="D588" t="s">
        <v>18</v>
      </c>
      <c r="E588" t="s">
        <v>17</v>
      </c>
      <c r="F588" t="s">
        <v>69</v>
      </c>
      <c r="G588" t="s">
        <v>62</v>
      </c>
      <c r="H588" t="s">
        <v>49</v>
      </c>
      <c r="I588" t="s">
        <v>40</v>
      </c>
      <c r="J588" t="s">
        <v>79</v>
      </c>
      <c r="K588">
        <v>0</v>
      </c>
      <c r="M588">
        <v>0.18</v>
      </c>
      <c r="N588" t="s">
        <v>1089</v>
      </c>
      <c r="P588">
        <v>71766</v>
      </c>
      <c r="Q588">
        <v>1.17</v>
      </c>
      <c r="R588">
        <v>0.9</v>
      </c>
      <c r="S588" t="b">
        <v>0</v>
      </c>
      <c r="T588">
        <v>3</v>
      </c>
      <c r="U588">
        <v>18</v>
      </c>
      <c r="V588" t="s">
        <v>0</v>
      </c>
    </row>
    <row r="589" spans="1:22" x14ac:dyDescent="0.25">
      <c r="A589" t="s">
        <v>1088</v>
      </c>
      <c r="B589">
        <v>2019</v>
      </c>
      <c r="C589" t="s">
        <v>233</v>
      </c>
      <c r="D589" t="s">
        <v>125</v>
      </c>
      <c r="E589" t="s">
        <v>219</v>
      </c>
      <c r="F589" t="s">
        <v>108</v>
      </c>
      <c r="G589" t="s">
        <v>25</v>
      </c>
      <c r="H589" t="s">
        <v>15</v>
      </c>
      <c r="I589" t="s">
        <v>40</v>
      </c>
      <c r="J589" t="s">
        <v>2</v>
      </c>
      <c r="K589">
        <v>1</v>
      </c>
      <c r="L589" t="s">
        <v>1086</v>
      </c>
      <c r="M589">
        <v>0.91</v>
      </c>
      <c r="N589" t="s">
        <v>1087</v>
      </c>
      <c r="O589" t="s">
        <v>1086</v>
      </c>
      <c r="P589">
        <v>27324</v>
      </c>
      <c r="Q589">
        <v>9.43</v>
      </c>
      <c r="R589">
        <v>0.2</v>
      </c>
      <c r="S589" t="b">
        <v>1</v>
      </c>
      <c r="T589">
        <v>3</v>
      </c>
      <c r="U589">
        <v>18</v>
      </c>
      <c r="V589" t="s">
        <v>0</v>
      </c>
    </row>
    <row r="590" spans="1:22" x14ac:dyDescent="0.25">
      <c r="A590" t="s">
        <v>1085</v>
      </c>
      <c r="B590">
        <v>2019</v>
      </c>
      <c r="C590" t="s">
        <v>176</v>
      </c>
      <c r="D590" t="s">
        <v>64</v>
      </c>
      <c r="E590" t="s">
        <v>7</v>
      </c>
      <c r="F590" t="s">
        <v>124</v>
      </c>
      <c r="G590" t="s">
        <v>25</v>
      </c>
      <c r="H590" t="s">
        <v>4</v>
      </c>
      <c r="I590" t="s">
        <v>97</v>
      </c>
      <c r="J590" t="s">
        <v>79</v>
      </c>
      <c r="K590">
        <v>1</v>
      </c>
      <c r="L590" t="s">
        <v>1083</v>
      </c>
      <c r="M590">
        <v>0.66</v>
      </c>
      <c r="N590" t="s">
        <v>1084</v>
      </c>
      <c r="O590" t="s">
        <v>1083</v>
      </c>
      <c r="P590">
        <v>139395</v>
      </c>
      <c r="Q590">
        <v>17.64</v>
      </c>
      <c r="R590">
        <v>0.28999999999999998</v>
      </c>
      <c r="S590" t="b">
        <v>1</v>
      </c>
      <c r="T590">
        <v>2</v>
      </c>
      <c r="U590">
        <v>0</v>
      </c>
      <c r="V590" t="s">
        <v>0</v>
      </c>
    </row>
    <row r="591" spans="1:22" x14ac:dyDescent="0.25">
      <c r="A591" t="s">
        <v>1082</v>
      </c>
      <c r="B591">
        <v>2019</v>
      </c>
      <c r="C591" t="s">
        <v>152</v>
      </c>
      <c r="D591" t="s">
        <v>28</v>
      </c>
      <c r="E591" t="s">
        <v>219</v>
      </c>
      <c r="F591" t="s">
        <v>115</v>
      </c>
      <c r="G591" t="s">
        <v>135</v>
      </c>
      <c r="H591" t="s">
        <v>102</v>
      </c>
      <c r="I591" t="s">
        <v>14</v>
      </c>
      <c r="J591" t="s">
        <v>23</v>
      </c>
      <c r="K591">
        <v>1</v>
      </c>
      <c r="L591" t="s">
        <v>1080</v>
      </c>
      <c r="M591">
        <v>0.83</v>
      </c>
      <c r="N591" t="s">
        <v>1081</v>
      </c>
      <c r="O591" t="s">
        <v>1080</v>
      </c>
      <c r="P591">
        <v>54259</v>
      </c>
      <c r="Q591">
        <v>11.22</v>
      </c>
      <c r="R591">
        <v>0.23</v>
      </c>
      <c r="S591" t="b">
        <v>1</v>
      </c>
      <c r="T591">
        <v>1</v>
      </c>
      <c r="U591">
        <v>18</v>
      </c>
      <c r="V591" t="s">
        <v>0</v>
      </c>
    </row>
    <row r="592" spans="1:22" x14ac:dyDescent="0.25">
      <c r="A592" t="s">
        <v>1079</v>
      </c>
      <c r="B592">
        <v>2019</v>
      </c>
      <c r="C592" t="s">
        <v>171</v>
      </c>
      <c r="D592" t="s">
        <v>57</v>
      </c>
      <c r="E592" t="s">
        <v>42</v>
      </c>
      <c r="F592" t="s">
        <v>26</v>
      </c>
      <c r="G592" t="s">
        <v>16</v>
      </c>
      <c r="H592" t="s">
        <v>179</v>
      </c>
      <c r="I592" t="s">
        <v>90</v>
      </c>
      <c r="J592" t="s">
        <v>96</v>
      </c>
      <c r="K592">
        <v>0</v>
      </c>
      <c r="M592">
        <v>0.11</v>
      </c>
      <c r="N592" t="s">
        <v>1078</v>
      </c>
      <c r="P592">
        <v>94294</v>
      </c>
      <c r="Q592">
        <v>2.81</v>
      </c>
      <c r="R592">
        <v>0.76</v>
      </c>
      <c r="S592" t="b">
        <v>0</v>
      </c>
      <c r="T592">
        <v>2</v>
      </c>
      <c r="U592">
        <v>4</v>
      </c>
      <c r="V592" t="s">
        <v>0</v>
      </c>
    </row>
    <row r="593" spans="1:22" x14ac:dyDescent="0.25">
      <c r="A593" t="s">
        <v>1077</v>
      </c>
      <c r="B593">
        <v>2019</v>
      </c>
      <c r="C593" t="s">
        <v>152</v>
      </c>
      <c r="D593" t="s">
        <v>28</v>
      </c>
      <c r="E593" t="s">
        <v>36</v>
      </c>
      <c r="F593" t="s">
        <v>136</v>
      </c>
      <c r="G593" t="s">
        <v>25</v>
      </c>
      <c r="H593" t="s">
        <v>141</v>
      </c>
      <c r="I593" t="s">
        <v>74</v>
      </c>
      <c r="J593" t="s">
        <v>96</v>
      </c>
      <c r="K593">
        <v>1</v>
      </c>
      <c r="L593" t="s">
        <v>956</v>
      </c>
      <c r="M593">
        <v>0.78</v>
      </c>
      <c r="N593" t="s">
        <v>1076</v>
      </c>
      <c r="O593" t="s">
        <v>956</v>
      </c>
      <c r="P593">
        <v>56603</v>
      </c>
      <c r="Q593">
        <v>6.18</v>
      </c>
      <c r="R593">
        <v>0.28000000000000003</v>
      </c>
      <c r="S593" t="b">
        <v>1</v>
      </c>
      <c r="T593">
        <v>1</v>
      </c>
      <c r="U593">
        <v>9</v>
      </c>
      <c r="V593" t="s">
        <v>0</v>
      </c>
    </row>
    <row r="594" spans="1:22" x14ac:dyDescent="0.25">
      <c r="A594" t="s">
        <v>1075</v>
      </c>
      <c r="B594">
        <v>2019</v>
      </c>
      <c r="C594" t="s">
        <v>236</v>
      </c>
      <c r="D594" t="s">
        <v>131</v>
      </c>
      <c r="E594" t="s">
        <v>36</v>
      </c>
      <c r="F594" t="s">
        <v>75</v>
      </c>
      <c r="G594" t="s">
        <v>135</v>
      </c>
      <c r="H594" t="s">
        <v>179</v>
      </c>
      <c r="I594" t="s">
        <v>90</v>
      </c>
      <c r="J594" t="s">
        <v>13</v>
      </c>
      <c r="K594">
        <v>0</v>
      </c>
      <c r="M594">
        <v>0.18</v>
      </c>
      <c r="N594" t="s">
        <v>1074</v>
      </c>
      <c r="P594">
        <v>43200</v>
      </c>
      <c r="Q594">
        <v>-3.56</v>
      </c>
      <c r="R594">
        <v>0.76</v>
      </c>
      <c r="S594" t="b">
        <v>0</v>
      </c>
      <c r="T594">
        <v>3</v>
      </c>
      <c r="U594">
        <v>13</v>
      </c>
      <c r="V594" t="s">
        <v>0</v>
      </c>
    </row>
    <row r="595" spans="1:22" x14ac:dyDescent="0.25">
      <c r="A595" t="s">
        <v>1073</v>
      </c>
      <c r="B595">
        <v>2019</v>
      </c>
      <c r="C595" t="s">
        <v>348</v>
      </c>
      <c r="D595" t="s">
        <v>64</v>
      </c>
      <c r="E595" t="s">
        <v>219</v>
      </c>
      <c r="F595" t="s">
        <v>80</v>
      </c>
      <c r="G595" t="s">
        <v>25</v>
      </c>
      <c r="H595" t="s">
        <v>179</v>
      </c>
      <c r="I595" t="s">
        <v>74</v>
      </c>
      <c r="J595" t="s">
        <v>2</v>
      </c>
      <c r="K595">
        <v>0</v>
      </c>
      <c r="M595">
        <v>0.01</v>
      </c>
      <c r="N595" t="s">
        <v>1072</v>
      </c>
      <c r="P595">
        <v>89212</v>
      </c>
      <c r="Q595">
        <v>2.23</v>
      </c>
      <c r="R595">
        <v>0.81</v>
      </c>
      <c r="S595" t="b">
        <v>0</v>
      </c>
      <c r="T595">
        <v>1</v>
      </c>
      <c r="U595">
        <v>11</v>
      </c>
      <c r="V595" t="s">
        <v>0</v>
      </c>
    </row>
    <row r="596" spans="1:22" x14ac:dyDescent="0.25">
      <c r="A596" t="s">
        <v>1071</v>
      </c>
      <c r="B596">
        <v>2019</v>
      </c>
      <c r="C596" t="s">
        <v>58</v>
      </c>
      <c r="D596" t="s">
        <v>57</v>
      </c>
      <c r="E596" t="s">
        <v>219</v>
      </c>
      <c r="F596" t="s">
        <v>115</v>
      </c>
      <c r="G596" t="s">
        <v>62</v>
      </c>
      <c r="H596" t="s">
        <v>4</v>
      </c>
      <c r="I596" t="s">
        <v>74</v>
      </c>
      <c r="J596" t="s">
        <v>79</v>
      </c>
      <c r="K596">
        <v>0</v>
      </c>
      <c r="M596">
        <v>0.17</v>
      </c>
      <c r="N596" t="s">
        <v>1070</v>
      </c>
      <c r="P596">
        <v>90009</v>
      </c>
      <c r="Q596">
        <v>-3.11</v>
      </c>
      <c r="R596">
        <v>0.74</v>
      </c>
      <c r="S596" t="b">
        <v>0</v>
      </c>
      <c r="T596">
        <v>1</v>
      </c>
      <c r="U596">
        <v>15</v>
      </c>
      <c r="V596" t="s">
        <v>0</v>
      </c>
    </row>
    <row r="597" spans="1:22" x14ac:dyDescent="0.25">
      <c r="A597" t="s">
        <v>1069</v>
      </c>
      <c r="B597">
        <v>2019</v>
      </c>
      <c r="C597" t="s">
        <v>382</v>
      </c>
      <c r="D597" t="s">
        <v>125</v>
      </c>
      <c r="E597" t="s">
        <v>42</v>
      </c>
      <c r="F597" t="s">
        <v>6</v>
      </c>
      <c r="G597" t="s">
        <v>62</v>
      </c>
      <c r="H597" t="s">
        <v>34</v>
      </c>
      <c r="I597" t="s">
        <v>68</v>
      </c>
      <c r="J597" t="s">
        <v>96</v>
      </c>
      <c r="K597">
        <v>0</v>
      </c>
      <c r="M597">
        <v>0.08</v>
      </c>
      <c r="N597" t="s">
        <v>1068</v>
      </c>
      <c r="P597">
        <v>21240</v>
      </c>
      <c r="Q597">
        <v>-0.76</v>
      </c>
      <c r="R597">
        <v>0.8</v>
      </c>
      <c r="S597" t="b">
        <v>0</v>
      </c>
      <c r="T597">
        <v>3</v>
      </c>
      <c r="U597">
        <v>16</v>
      </c>
      <c r="V597" t="s">
        <v>0</v>
      </c>
    </row>
    <row r="598" spans="1:22" x14ac:dyDescent="0.25">
      <c r="A598" t="s">
        <v>1067</v>
      </c>
      <c r="B598">
        <v>2019</v>
      </c>
      <c r="C598" t="s">
        <v>316</v>
      </c>
      <c r="D598" t="s">
        <v>43</v>
      </c>
      <c r="E598" t="s">
        <v>86</v>
      </c>
      <c r="F598" t="s">
        <v>108</v>
      </c>
      <c r="G598" t="s">
        <v>135</v>
      </c>
      <c r="H598" t="s">
        <v>34</v>
      </c>
      <c r="I598" t="s">
        <v>40</v>
      </c>
      <c r="J598" t="s">
        <v>96</v>
      </c>
      <c r="K598">
        <v>0</v>
      </c>
      <c r="M598">
        <v>0.13</v>
      </c>
      <c r="N598" t="s">
        <v>1066</v>
      </c>
      <c r="P598">
        <v>72482</v>
      </c>
      <c r="Q598">
        <v>3.87</v>
      </c>
      <c r="R598">
        <v>0.84</v>
      </c>
      <c r="S598" t="b">
        <v>0</v>
      </c>
      <c r="T598">
        <v>3</v>
      </c>
      <c r="U598">
        <v>2</v>
      </c>
      <c r="V598" t="s">
        <v>0</v>
      </c>
    </row>
    <row r="599" spans="1:22" x14ac:dyDescent="0.25">
      <c r="A599" t="s">
        <v>1065</v>
      </c>
      <c r="B599">
        <v>2019</v>
      </c>
      <c r="C599" t="s">
        <v>220</v>
      </c>
      <c r="D599" t="s">
        <v>91</v>
      </c>
      <c r="E599" t="s">
        <v>219</v>
      </c>
      <c r="F599" t="s">
        <v>115</v>
      </c>
      <c r="G599" t="s">
        <v>5</v>
      </c>
      <c r="H599" t="s">
        <v>15</v>
      </c>
      <c r="I599" t="s">
        <v>14</v>
      </c>
      <c r="J599" t="s">
        <v>23</v>
      </c>
      <c r="K599">
        <v>1</v>
      </c>
      <c r="L599" t="s">
        <v>1063</v>
      </c>
      <c r="M599">
        <v>0.71</v>
      </c>
      <c r="N599" t="s">
        <v>1064</v>
      </c>
      <c r="O599" t="s">
        <v>1063</v>
      </c>
      <c r="P599">
        <v>98087</v>
      </c>
      <c r="Q599">
        <v>7.85</v>
      </c>
      <c r="R599">
        <v>0.39</v>
      </c>
      <c r="S599" t="b">
        <v>1</v>
      </c>
      <c r="T599">
        <v>2</v>
      </c>
      <c r="U599">
        <v>2</v>
      </c>
      <c r="V599" t="s">
        <v>0</v>
      </c>
    </row>
    <row r="600" spans="1:22" x14ac:dyDescent="0.25">
      <c r="A600" t="s">
        <v>1062</v>
      </c>
      <c r="B600">
        <v>2019</v>
      </c>
      <c r="C600" t="s">
        <v>157</v>
      </c>
      <c r="D600" t="s">
        <v>18</v>
      </c>
      <c r="E600" t="s">
        <v>147</v>
      </c>
      <c r="F600" t="s">
        <v>80</v>
      </c>
      <c r="G600" t="s">
        <v>25</v>
      </c>
      <c r="H600" t="s">
        <v>34</v>
      </c>
      <c r="I600" t="s">
        <v>24</v>
      </c>
      <c r="J600" t="s">
        <v>2</v>
      </c>
      <c r="K600">
        <v>0</v>
      </c>
      <c r="M600">
        <v>7.0000000000000007E-2</v>
      </c>
      <c r="N600" t="s">
        <v>1061</v>
      </c>
      <c r="P600">
        <v>71903</v>
      </c>
      <c r="Q600">
        <v>0.93</v>
      </c>
      <c r="R600">
        <v>0.86</v>
      </c>
      <c r="S600" t="b">
        <v>0</v>
      </c>
      <c r="T600">
        <v>1</v>
      </c>
      <c r="U600">
        <v>1</v>
      </c>
      <c r="V600" t="s">
        <v>0</v>
      </c>
    </row>
    <row r="601" spans="1:22" x14ac:dyDescent="0.25">
      <c r="A601" t="s">
        <v>1060</v>
      </c>
      <c r="B601">
        <v>2019</v>
      </c>
      <c r="C601" t="s">
        <v>304</v>
      </c>
      <c r="D601" t="s">
        <v>131</v>
      </c>
      <c r="E601" t="s">
        <v>147</v>
      </c>
      <c r="F601" t="s">
        <v>136</v>
      </c>
      <c r="G601" t="s">
        <v>5</v>
      </c>
      <c r="H601" t="s">
        <v>34</v>
      </c>
      <c r="I601" t="s">
        <v>3</v>
      </c>
      <c r="J601" t="s">
        <v>96</v>
      </c>
      <c r="K601">
        <v>1</v>
      </c>
      <c r="L601" t="s">
        <v>1058</v>
      </c>
      <c r="M601">
        <v>0.5</v>
      </c>
      <c r="N601" t="s">
        <v>1059</v>
      </c>
      <c r="O601" t="s">
        <v>1058</v>
      </c>
      <c r="P601">
        <v>57645</v>
      </c>
      <c r="Q601">
        <v>11.15</v>
      </c>
      <c r="R601">
        <v>0.33</v>
      </c>
      <c r="S601" t="b">
        <v>1</v>
      </c>
      <c r="T601">
        <v>2</v>
      </c>
      <c r="U601">
        <v>12</v>
      </c>
      <c r="V601" t="s">
        <v>0</v>
      </c>
    </row>
    <row r="602" spans="1:22" x14ac:dyDescent="0.25">
      <c r="A602" t="s">
        <v>1057</v>
      </c>
      <c r="B602">
        <v>2019</v>
      </c>
      <c r="C602" t="s">
        <v>267</v>
      </c>
      <c r="D602" t="s">
        <v>43</v>
      </c>
      <c r="E602" t="s">
        <v>130</v>
      </c>
      <c r="F602" t="s">
        <v>103</v>
      </c>
      <c r="G602" t="s">
        <v>25</v>
      </c>
      <c r="H602" t="s">
        <v>4</v>
      </c>
      <c r="I602" t="s">
        <v>107</v>
      </c>
      <c r="J602" t="s">
        <v>96</v>
      </c>
      <c r="K602">
        <v>0</v>
      </c>
      <c r="M602">
        <v>0.13</v>
      </c>
      <c r="N602" t="s">
        <v>1056</v>
      </c>
      <c r="P602">
        <v>81470</v>
      </c>
      <c r="Q602">
        <v>-0.92</v>
      </c>
      <c r="R602">
        <v>0.65</v>
      </c>
      <c r="S602" t="b">
        <v>0</v>
      </c>
      <c r="T602">
        <v>2</v>
      </c>
      <c r="U602">
        <v>1</v>
      </c>
      <c r="V602" t="s">
        <v>0</v>
      </c>
    </row>
    <row r="603" spans="1:22" x14ac:dyDescent="0.25">
      <c r="A603" t="s">
        <v>1055</v>
      </c>
      <c r="B603">
        <v>2019</v>
      </c>
      <c r="C603" t="s">
        <v>86</v>
      </c>
      <c r="D603" t="s">
        <v>131</v>
      </c>
      <c r="E603" t="s">
        <v>7</v>
      </c>
      <c r="F603" t="s">
        <v>69</v>
      </c>
      <c r="G603" t="s">
        <v>25</v>
      </c>
      <c r="H603" t="s">
        <v>4</v>
      </c>
      <c r="I603" t="s">
        <v>24</v>
      </c>
      <c r="J603" t="s">
        <v>23</v>
      </c>
      <c r="K603">
        <v>0</v>
      </c>
      <c r="M603">
        <v>0.12</v>
      </c>
      <c r="N603" t="s">
        <v>1054</v>
      </c>
      <c r="P603">
        <v>39663</v>
      </c>
      <c r="Q603">
        <v>0.69</v>
      </c>
      <c r="R603">
        <v>0.64</v>
      </c>
      <c r="S603" t="b">
        <v>0</v>
      </c>
      <c r="T603">
        <v>1</v>
      </c>
      <c r="U603">
        <v>7</v>
      </c>
      <c r="V603" t="s">
        <v>0</v>
      </c>
    </row>
    <row r="604" spans="1:22" x14ac:dyDescent="0.25">
      <c r="A604" t="s">
        <v>1053</v>
      </c>
      <c r="B604">
        <v>2019</v>
      </c>
      <c r="C604" t="s">
        <v>44</v>
      </c>
      <c r="D604" t="s">
        <v>43</v>
      </c>
      <c r="E604" t="s">
        <v>130</v>
      </c>
      <c r="F604" t="s">
        <v>80</v>
      </c>
      <c r="G604" t="s">
        <v>62</v>
      </c>
      <c r="H604" t="s">
        <v>141</v>
      </c>
      <c r="I604" t="s">
        <v>14</v>
      </c>
      <c r="J604" t="s">
        <v>79</v>
      </c>
      <c r="K604">
        <v>0</v>
      </c>
      <c r="M604">
        <v>0.01</v>
      </c>
      <c r="N604" t="s">
        <v>1052</v>
      </c>
      <c r="P604">
        <v>65443</v>
      </c>
      <c r="Q604">
        <v>4.59</v>
      </c>
      <c r="R604">
        <v>0.74</v>
      </c>
      <c r="S604" t="b">
        <v>0</v>
      </c>
      <c r="T604">
        <v>1</v>
      </c>
      <c r="U604">
        <v>2</v>
      </c>
      <c r="V604" t="s">
        <v>0</v>
      </c>
    </row>
    <row r="605" spans="1:22" x14ac:dyDescent="0.25">
      <c r="A605" t="s">
        <v>1051</v>
      </c>
      <c r="B605">
        <v>2019</v>
      </c>
      <c r="C605" t="s">
        <v>348</v>
      </c>
      <c r="D605" t="s">
        <v>64</v>
      </c>
      <c r="E605" t="s">
        <v>116</v>
      </c>
      <c r="F605" t="s">
        <v>136</v>
      </c>
      <c r="G605" t="s">
        <v>16</v>
      </c>
      <c r="H605" t="s">
        <v>49</v>
      </c>
      <c r="I605" t="s">
        <v>24</v>
      </c>
      <c r="J605" t="s">
        <v>23</v>
      </c>
      <c r="K605">
        <v>1</v>
      </c>
      <c r="L605" t="s">
        <v>150</v>
      </c>
      <c r="M605">
        <v>0.69</v>
      </c>
      <c r="N605" t="s">
        <v>1050</v>
      </c>
      <c r="O605" t="s">
        <v>150</v>
      </c>
      <c r="P605">
        <v>121300</v>
      </c>
      <c r="Q605">
        <v>11.36</v>
      </c>
      <c r="R605">
        <v>0.16</v>
      </c>
      <c r="S605" t="b">
        <v>1</v>
      </c>
      <c r="T605">
        <v>2</v>
      </c>
      <c r="U605">
        <v>5</v>
      </c>
      <c r="V605" t="s">
        <v>0</v>
      </c>
    </row>
    <row r="606" spans="1:22" x14ac:dyDescent="0.25">
      <c r="A606" t="s">
        <v>1049</v>
      </c>
      <c r="B606">
        <v>2019</v>
      </c>
      <c r="C606" t="s">
        <v>58</v>
      </c>
      <c r="D606" t="s">
        <v>57</v>
      </c>
      <c r="E606" t="s">
        <v>219</v>
      </c>
      <c r="F606" t="s">
        <v>156</v>
      </c>
      <c r="G606" t="s">
        <v>5</v>
      </c>
      <c r="H606" t="s">
        <v>15</v>
      </c>
      <c r="I606" t="s">
        <v>97</v>
      </c>
      <c r="J606" t="s">
        <v>79</v>
      </c>
      <c r="K606">
        <v>0</v>
      </c>
      <c r="M606">
        <v>0.11</v>
      </c>
      <c r="N606" t="s">
        <v>1048</v>
      </c>
      <c r="P606">
        <v>82372</v>
      </c>
      <c r="Q606">
        <v>-2.76</v>
      </c>
      <c r="R606">
        <v>0.62</v>
      </c>
      <c r="S606" t="b">
        <v>0</v>
      </c>
      <c r="T606">
        <v>1</v>
      </c>
      <c r="U606">
        <v>15</v>
      </c>
      <c r="V606" t="s">
        <v>0</v>
      </c>
    </row>
    <row r="607" spans="1:22" x14ac:dyDescent="0.25">
      <c r="A607" t="s">
        <v>1047</v>
      </c>
      <c r="B607">
        <v>2019</v>
      </c>
      <c r="C607" t="s">
        <v>86</v>
      </c>
      <c r="D607" t="s">
        <v>131</v>
      </c>
      <c r="E607" t="s">
        <v>56</v>
      </c>
      <c r="F607" t="s">
        <v>63</v>
      </c>
      <c r="G607" t="s">
        <v>16</v>
      </c>
      <c r="H607" t="s">
        <v>141</v>
      </c>
      <c r="I607" t="s">
        <v>33</v>
      </c>
      <c r="J607" t="s">
        <v>79</v>
      </c>
      <c r="K607">
        <v>0</v>
      </c>
      <c r="M607">
        <v>0.17</v>
      </c>
      <c r="N607" t="s">
        <v>1046</v>
      </c>
      <c r="P607">
        <v>43477</v>
      </c>
      <c r="Q607">
        <v>4.28</v>
      </c>
      <c r="R607">
        <v>0.87</v>
      </c>
      <c r="S607" t="b">
        <v>0</v>
      </c>
      <c r="T607">
        <v>3</v>
      </c>
      <c r="U607">
        <v>11</v>
      </c>
      <c r="V607" t="s">
        <v>0</v>
      </c>
    </row>
    <row r="608" spans="1:22" x14ac:dyDescent="0.25">
      <c r="A608" t="s">
        <v>1045</v>
      </c>
      <c r="B608">
        <v>2019</v>
      </c>
      <c r="C608" t="s">
        <v>117</v>
      </c>
      <c r="D608" t="s">
        <v>91</v>
      </c>
      <c r="E608" t="s">
        <v>182</v>
      </c>
      <c r="F608" t="s">
        <v>112</v>
      </c>
      <c r="G608" t="s">
        <v>25</v>
      </c>
      <c r="H608" t="s">
        <v>141</v>
      </c>
      <c r="I608" t="s">
        <v>40</v>
      </c>
      <c r="J608" t="s">
        <v>79</v>
      </c>
      <c r="K608">
        <v>1</v>
      </c>
      <c r="L608" t="s">
        <v>110</v>
      </c>
      <c r="M608">
        <v>0.91</v>
      </c>
      <c r="N608" t="s">
        <v>1044</v>
      </c>
      <c r="O608" t="s">
        <v>110</v>
      </c>
      <c r="P608">
        <v>102198</v>
      </c>
      <c r="Q608">
        <v>13.87</v>
      </c>
      <c r="R608">
        <v>0.18</v>
      </c>
      <c r="S608" t="b">
        <v>1</v>
      </c>
      <c r="T608">
        <v>1</v>
      </c>
      <c r="U608">
        <v>0</v>
      </c>
      <c r="V608" t="s">
        <v>0</v>
      </c>
    </row>
    <row r="609" spans="1:22" x14ac:dyDescent="0.25">
      <c r="A609" t="s">
        <v>1043</v>
      </c>
      <c r="B609">
        <v>2019</v>
      </c>
      <c r="C609" t="s">
        <v>148</v>
      </c>
      <c r="D609" t="s">
        <v>28</v>
      </c>
      <c r="E609" t="s">
        <v>27</v>
      </c>
      <c r="F609" t="s">
        <v>108</v>
      </c>
      <c r="G609" t="s">
        <v>62</v>
      </c>
      <c r="H609" t="s">
        <v>141</v>
      </c>
      <c r="I609" t="s">
        <v>107</v>
      </c>
      <c r="J609" t="s">
        <v>2</v>
      </c>
      <c r="K609">
        <v>0</v>
      </c>
      <c r="M609">
        <v>0.05</v>
      </c>
      <c r="N609" t="s">
        <v>1042</v>
      </c>
      <c r="P609">
        <v>46395</v>
      </c>
      <c r="Q609">
        <v>2.97</v>
      </c>
      <c r="R609">
        <v>0.76</v>
      </c>
      <c r="S609" t="b">
        <v>0</v>
      </c>
      <c r="T609">
        <v>1</v>
      </c>
      <c r="U609">
        <v>19</v>
      </c>
      <c r="V609" t="s">
        <v>0</v>
      </c>
    </row>
    <row r="610" spans="1:22" x14ac:dyDescent="0.25">
      <c r="A610" t="s">
        <v>1041</v>
      </c>
      <c r="B610">
        <v>2019</v>
      </c>
      <c r="C610" t="s">
        <v>126</v>
      </c>
      <c r="D610" t="s">
        <v>125</v>
      </c>
      <c r="E610" t="s">
        <v>86</v>
      </c>
      <c r="F610" t="s">
        <v>115</v>
      </c>
      <c r="G610" t="s">
        <v>16</v>
      </c>
      <c r="H610" t="s">
        <v>179</v>
      </c>
      <c r="I610" t="s">
        <v>14</v>
      </c>
      <c r="J610" t="s">
        <v>23</v>
      </c>
      <c r="K610">
        <v>1</v>
      </c>
      <c r="L610" t="s">
        <v>240</v>
      </c>
      <c r="M610">
        <v>0.42</v>
      </c>
      <c r="N610" t="s">
        <v>1040</v>
      </c>
      <c r="O610" t="s">
        <v>240</v>
      </c>
      <c r="P610">
        <v>35796</v>
      </c>
      <c r="Q610">
        <v>10.48</v>
      </c>
      <c r="R610">
        <v>0.3</v>
      </c>
      <c r="S610" t="b">
        <v>1</v>
      </c>
      <c r="T610">
        <v>1</v>
      </c>
      <c r="U610">
        <v>12</v>
      </c>
      <c r="V610" t="s">
        <v>0</v>
      </c>
    </row>
    <row r="611" spans="1:22" x14ac:dyDescent="0.25">
      <c r="A611" t="s">
        <v>1039</v>
      </c>
      <c r="B611">
        <v>2019</v>
      </c>
      <c r="C611" t="s">
        <v>298</v>
      </c>
      <c r="D611" t="s">
        <v>125</v>
      </c>
      <c r="E611" t="s">
        <v>56</v>
      </c>
      <c r="F611" t="s">
        <v>69</v>
      </c>
      <c r="G611" t="s">
        <v>135</v>
      </c>
      <c r="H611" t="s">
        <v>141</v>
      </c>
      <c r="I611" t="s">
        <v>3</v>
      </c>
      <c r="J611" t="s">
        <v>79</v>
      </c>
      <c r="K611">
        <v>0</v>
      </c>
      <c r="M611">
        <v>0.17</v>
      </c>
      <c r="N611" t="s">
        <v>1038</v>
      </c>
      <c r="P611">
        <v>20999</v>
      </c>
      <c r="Q611">
        <v>1.62</v>
      </c>
      <c r="R611">
        <v>0.65</v>
      </c>
      <c r="S611" t="b">
        <v>0</v>
      </c>
      <c r="T611">
        <v>2</v>
      </c>
      <c r="U611">
        <v>18</v>
      </c>
      <c r="V611" t="s">
        <v>0</v>
      </c>
    </row>
    <row r="612" spans="1:22" x14ac:dyDescent="0.25">
      <c r="A612" t="s">
        <v>1037</v>
      </c>
      <c r="B612">
        <v>2019</v>
      </c>
      <c r="C612" t="s">
        <v>117</v>
      </c>
      <c r="D612" t="s">
        <v>91</v>
      </c>
      <c r="E612" t="s">
        <v>130</v>
      </c>
      <c r="F612" t="s">
        <v>6</v>
      </c>
      <c r="G612" t="s">
        <v>16</v>
      </c>
      <c r="H612" t="s">
        <v>85</v>
      </c>
      <c r="I612" t="s">
        <v>3</v>
      </c>
      <c r="J612" t="s">
        <v>23</v>
      </c>
      <c r="K612">
        <v>0</v>
      </c>
      <c r="M612">
        <v>0.06</v>
      </c>
      <c r="N612" t="s">
        <v>1036</v>
      </c>
      <c r="P612">
        <v>56285</v>
      </c>
      <c r="Q612">
        <v>0.69</v>
      </c>
      <c r="R612">
        <v>0.78</v>
      </c>
      <c r="S612" t="b">
        <v>0</v>
      </c>
      <c r="T612">
        <v>3</v>
      </c>
      <c r="U612">
        <v>17</v>
      </c>
      <c r="V612" t="s">
        <v>0</v>
      </c>
    </row>
    <row r="613" spans="1:22" x14ac:dyDescent="0.25">
      <c r="A613" t="s">
        <v>1035</v>
      </c>
      <c r="B613">
        <v>2019</v>
      </c>
      <c r="C613" t="s">
        <v>167</v>
      </c>
      <c r="D613" t="s">
        <v>43</v>
      </c>
      <c r="E613" t="s">
        <v>182</v>
      </c>
      <c r="F613" t="s">
        <v>136</v>
      </c>
      <c r="G613" t="s">
        <v>62</v>
      </c>
      <c r="H613" t="s">
        <v>102</v>
      </c>
      <c r="I613" t="s">
        <v>3</v>
      </c>
      <c r="J613" t="s">
        <v>79</v>
      </c>
      <c r="K613">
        <v>1</v>
      </c>
      <c r="L613" t="s">
        <v>1033</v>
      </c>
      <c r="M613">
        <v>0.83</v>
      </c>
      <c r="N613" t="s">
        <v>1034</v>
      </c>
      <c r="O613" t="s">
        <v>1033</v>
      </c>
      <c r="P613">
        <v>93929</v>
      </c>
      <c r="Q613">
        <v>16.93</v>
      </c>
      <c r="R613">
        <v>0.28999999999999998</v>
      </c>
      <c r="S613" t="b">
        <v>1</v>
      </c>
      <c r="T613">
        <v>1</v>
      </c>
      <c r="U613">
        <v>12</v>
      </c>
      <c r="V613" t="s">
        <v>0</v>
      </c>
    </row>
    <row r="614" spans="1:22" x14ac:dyDescent="0.25">
      <c r="A614" t="s">
        <v>1032</v>
      </c>
      <c r="B614">
        <v>2019</v>
      </c>
      <c r="C614" t="s">
        <v>44</v>
      </c>
      <c r="D614" t="s">
        <v>43</v>
      </c>
      <c r="E614" t="s">
        <v>50</v>
      </c>
      <c r="F614" t="s">
        <v>69</v>
      </c>
      <c r="G614" t="s">
        <v>16</v>
      </c>
      <c r="H614" t="s">
        <v>4</v>
      </c>
      <c r="I614" t="s">
        <v>33</v>
      </c>
      <c r="J614" t="s">
        <v>13</v>
      </c>
      <c r="K614">
        <v>0</v>
      </c>
      <c r="M614">
        <v>0.14000000000000001</v>
      </c>
      <c r="N614" t="s">
        <v>1031</v>
      </c>
      <c r="P614">
        <v>74739</v>
      </c>
      <c r="Q614">
        <v>-3.55</v>
      </c>
      <c r="R614">
        <v>0.62</v>
      </c>
      <c r="S614" t="b">
        <v>0</v>
      </c>
      <c r="T614">
        <v>2</v>
      </c>
      <c r="U614">
        <v>15</v>
      </c>
      <c r="V614" t="s">
        <v>0</v>
      </c>
    </row>
    <row r="615" spans="1:22" x14ac:dyDescent="0.25">
      <c r="A615" t="s">
        <v>1030</v>
      </c>
      <c r="B615">
        <v>2019</v>
      </c>
      <c r="C615" t="s">
        <v>70</v>
      </c>
      <c r="D615" t="s">
        <v>18</v>
      </c>
      <c r="E615" t="s">
        <v>116</v>
      </c>
      <c r="F615" t="s">
        <v>124</v>
      </c>
      <c r="G615" t="s">
        <v>5</v>
      </c>
      <c r="H615" t="s">
        <v>49</v>
      </c>
      <c r="I615" t="s">
        <v>97</v>
      </c>
      <c r="J615" t="s">
        <v>73</v>
      </c>
      <c r="K615">
        <v>1</v>
      </c>
      <c r="L615" t="s">
        <v>217</v>
      </c>
      <c r="M615">
        <v>0.83</v>
      </c>
      <c r="N615" t="s">
        <v>1029</v>
      </c>
      <c r="O615" t="s">
        <v>217</v>
      </c>
      <c r="P615">
        <v>96536</v>
      </c>
      <c r="Q615">
        <v>13.92</v>
      </c>
      <c r="R615">
        <v>0.25</v>
      </c>
      <c r="S615" t="b">
        <v>1</v>
      </c>
      <c r="T615">
        <v>1</v>
      </c>
      <c r="U615">
        <v>13</v>
      </c>
      <c r="V615" t="s">
        <v>0</v>
      </c>
    </row>
    <row r="616" spans="1:22" x14ac:dyDescent="0.25">
      <c r="A616" t="s">
        <v>1028</v>
      </c>
      <c r="B616">
        <v>2019</v>
      </c>
      <c r="C616" t="s">
        <v>358</v>
      </c>
      <c r="D616" t="s">
        <v>131</v>
      </c>
      <c r="E616" t="s">
        <v>147</v>
      </c>
      <c r="F616" t="s">
        <v>136</v>
      </c>
      <c r="G616" t="s">
        <v>25</v>
      </c>
      <c r="H616" t="s">
        <v>15</v>
      </c>
      <c r="I616" t="s">
        <v>90</v>
      </c>
      <c r="J616" t="s">
        <v>23</v>
      </c>
      <c r="K616">
        <v>0</v>
      </c>
      <c r="M616">
        <v>7.0000000000000007E-2</v>
      </c>
      <c r="N616" t="s">
        <v>1027</v>
      </c>
      <c r="P616">
        <v>36941</v>
      </c>
      <c r="Q616">
        <v>0.82</v>
      </c>
      <c r="R616">
        <v>0.84</v>
      </c>
      <c r="S616" t="b">
        <v>0</v>
      </c>
      <c r="T616">
        <v>1</v>
      </c>
      <c r="U616">
        <v>19</v>
      </c>
      <c r="V616" t="s">
        <v>0</v>
      </c>
    </row>
    <row r="617" spans="1:22" x14ac:dyDescent="0.25">
      <c r="A617" t="s">
        <v>1026</v>
      </c>
      <c r="B617">
        <v>2019</v>
      </c>
      <c r="C617" t="s">
        <v>304</v>
      </c>
      <c r="D617" t="s">
        <v>131</v>
      </c>
      <c r="E617" t="s">
        <v>147</v>
      </c>
      <c r="F617" t="s">
        <v>103</v>
      </c>
      <c r="G617" t="s">
        <v>5</v>
      </c>
      <c r="H617" t="s">
        <v>61</v>
      </c>
      <c r="I617" t="s">
        <v>97</v>
      </c>
      <c r="J617" t="s">
        <v>96</v>
      </c>
      <c r="K617">
        <v>0</v>
      </c>
      <c r="M617">
        <v>0.1</v>
      </c>
      <c r="N617" t="s">
        <v>1025</v>
      </c>
      <c r="P617">
        <v>37869</v>
      </c>
      <c r="Q617">
        <v>2.21</v>
      </c>
      <c r="R617">
        <v>0.61</v>
      </c>
      <c r="S617" t="b">
        <v>0</v>
      </c>
      <c r="T617">
        <v>2</v>
      </c>
      <c r="U617">
        <v>11</v>
      </c>
      <c r="V617" t="s">
        <v>0</v>
      </c>
    </row>
    <row r="618" spans="1:22" x14ac:dyDescent="0.25">
      <c r="A618" t="s">
        <v>1024</v>
      </c>
      <c r="B618">
        <v>2019</v>
      </c>
      <c r="C618" t="s">
        <v>65</v>
      </c>
      <c r="D618" t="s">
        <v>64</v>
      </c>
      <c r="E618" t="s">
        <v>219</v>
      </c>
      <c r="F618" t="s">
        <v>75</v>
      </c>
      <c r="G618" t="s">
        <v>62</v>
      </c>
      <c r="H618" t="s">
        <v>49</v>
      </c>
      <c r="I618" t="s">
        <v>40</v>
      </c>
      <c r="J618" t="s">
        <v>13</v>
      </c>
      <c r="K618">
        <v>1</v>
      </c>
      <c r="L618" t="s">
        <v>1022</v>
      </c>
      <c r="M618">
        <v>0.82</v>
      </c>
      <c r="N618" t="s">
        <v>1023</v>
      </c>
      <c r="O618" t="s">
        <v>1022</v>
      </c>
      <c r="P618">
        <v>129636</v>
      </c>
      <c r="Q618">
        <v>9.64</v>
      </c>
      <c r="R618">
        <v>0.14000000000000001</v>
      </c>
      <c r="S618" t="b">
        <v>1</v>
      </c>
      <c r="T618">
        <v>2</v>
      </c>
      <c r="U618">
        <v>19</v>
      </c>
      <c r="V618" t="s">
        <v>0</v>
      </c>
    </row>
    <row r="619" spans="1:22" x14ac:dyDescent="0.25">
      <c r="A619" t="s">
        <v>1021</v>
      </c>
      <c r="B619">
        <v>2019</v>
      </c>
      <c r="C619" t="s">
        <v>413</v>
      </c>
      <c r="D619" t="s">
        <v>8</v>
      </c>
      <c r="E619" t="s">
        <v>86</v>
      </c>
      <c r="F619" t="s">
        <v>6</v>
      </c>
      <c r="G619" t="s">
        <v>25</v>
      </c>
      <c r="H619" t="s">
        <v>4</v>
      </c>
      <c r="I619" t="s">
        <v>14</v>
      </c>
      <c r="J619" t="s">
        <v>96</v>
      </c>
      <c r="K619">
        <v>1</v>
      </c>
      <c r="L619" t="s">
        <v>409</v>
      </c>
      <c r="M619">
        <v>0.44</v>
      </c>
      <c r="N619" t="s">
        <v>1020</v>
      </c>
      <c r="O619" t="s">
        <v>409</v>
      </c>
      <c r="P619">
        <v>39755</v>
      </c>
      <c r="Q619">
        <v>13.1</v>
      </c>
      <c r="R619">
        <v>0.31</v>
      </c>
      <c r="S619" t="b">
        <v>1</v>
      </c>
      <c r="T619">
        <v>1</v>
      </c>
      <c r="U619">
        <v>6</v>
      </c>
      <c r="V619" t="s">
        <v>0</v>
      </c>
    </row>
    <row r="620" spans="1:22" x14ac:dyDescent="0.25">
      <c r="A620" t="s">
        <v>1019</v>
      </c>
      <c r="B620">
        <v>2019</v>
      </c>
      <c r="C620" t="s">
        <v>171</v>
      </c>
      <c r="D620" t="s">
        <v>57</v>
      </c>
      <c r="E620" t="s">
        <v>56</v>
      </c>
      <c r="F620" t="s">
        <v>115</v>
      </c>
      <c r="G620" t="s">
        <v>62</v>
      </c>
      <c r="H620" t="s">
        <v>15</v>
      </c>
      <c r="I620" t="s">
        <v>97</v>
      </c>
      <c r="J620" t="s">
        <v>73</v>
      </c>
      <c r="K620">
        <v>1</v>
      </c>
      <c r="L620" t="s">
        <v>956</v>
      </c>
      <c r="M620">
        <v>0.94</v>
      </c>
      <c r="N620" t="s">
        <v>1018</v>
      </c>
      <c r="O620" t="s">
        <v>956</v>
      </c>
      <c r="P620">
        <v>132098</v>
      </c>
      <c r="Q620">
        <v>6.42</v>
      </c>
      <c r="R620">
        <v>0.11</v>
      </c>
      <c r="S620" t="b">
        <v>1</v>
      </c>
      <c r="T620">
        <v>2</v>
      </c>
      <c r="U620">
        <v>19</v>
      </c>
      <c r="V620" t="s">
        <v>0</v>
      </c>
    </row>
    <row r="621" spans="1:22" x14ac:dyDescent="0.25">
      <c r="A621" t="s">
        <v>1017</v>
      </c>
      <c r="B621">
        <v>2019</v>
      </c>
      <c r="C621" t="s">
        <v>245</v>
      </c>
      <c r="D621" t="s">
        <v>125</v>
      </c>
      <c r="E621" t="s">
        <v>50</v>
      </c>
      <c r="F621" t="s">
        <v>80</v>
      </c>
      <c r="G621" t="s">
        <v>25</v>
      </c>
      <c r="H621" t="s">
        <v>34</v>
      </c>
      <c r="I621" t="s">
        <v>107</v>
      </c>
      <c r="J621" t="s">
        <v>23</v>
      </c>
      <c r="K621">
        <v>1</v>
      </c>
      <c r="L621" t="s">
        <v>1015</v>
      </c>
      <c r="M621">
        <v>0.56000000000000005</v>
      </c>
      <c r="N621" t="s">
        <v>1016</v>
      </c>
      <c r="O621" t="s">
        <v>1015</v>
      </c>
      <c r="P621">
        <v>29568</v>
      </c>
      <c r="Q621">
        <v>16.95</v>
      </c>
      <c r="R621">
        <v>0.28000000000000003</v>
      </c>
      <c r="S621" t="b">
        <v>1</v>
      </c>
      <c r="T621">
        <v>2</v>
      </c>
      <c r="U621">
        <v>2</v>
      </c>
      <c r="V621" t="s">
        <v>0</v>
      </c>
    </row>
    <row r="622" spans="1:22" x14ac:dyDescent="0.25">
      <c r="A622" t="s">
        <v>1014</v>
      </c>
      <c r="B622">
        <v>2020</v>
      </c>
      <c r="C622" t="s">
        <v>148</v>
      </c>
      <c r="D622" t="s">
        <v>28</v>
      </c>
      <c r="E622" t="s">
        <v>182</v>
      </c>
      <c r="F622" t="s">
        <v>108</v>
      </c>
      <c r="G622" t="s">
        <v>5</v>
      </c>
      <c r="H622" t="s">
        <v>102</v>
      </c>
      <c r="I622" t="s">
        <v>74</v>
      </c>
      <c r="J622" t="s">
        <v>96</v>
      </c>
      <c r="K622">
        <v>0</v>
      </c>
      <c r="M622">
        <v>0.02</v>
      </c>
      <c r="N622" t="s">
        <v>1013</v>
      </c>
      <c r="P622">
        <v>51789</v>
      </c>
      <c r="Q622">
        <v>1.36</v>
      </c>
      <c r="R622">
        <v>0.85</v>
      </c>
      <c r="S622" t="b">
        <v>0</v>
      </c>
      <c r="T622">
        <v>3</v>
      </c>
      <c r="U622">
        <v>18</v>
      </c>
      <c r="V622" t="s">
        <v>0</v>
      </c>
    </row>
    <row r="623" spans="1:22" x14ac:dyDescent="0.25">
      <c r="A623" t="s">
        <v>1012</v>
      </c>
      <c r="B623">
        <v>2020</v>
      </c>
      <c r="C623" t="s">
        <v>65</v>
      </c>
      <c r="D623" t="s">
        <v>64</v>
      </c>
      <c r="E623" t="s">
        <v>219</v>
      </c>
      <c r="F623" t="s">
        <v>35</v>
      </c>
      <c r="G623" t="s">
        <v>5</v>
      </c>
      <c r="H623" t="s">
        <v>49</v>
      </c>
      <c r="I623" t="s">
        <v>24</v>
      </c>
      <c r="J623" t="s">
        <v>23</v>
      </c>
      <c r="K623">
        <v>0</v>
      </c>
      <c r="M623">
        <v>0.16</v>
      </c>
      <c r="N623" t="s">
        <v>1011</v>
      </c>
      <c r="P623">
        <v>97151</v>
      </c>
      <c r="Q623">
        <v>1.88</v>
      </c>
      <c r="R623">
        <v>0.61</v>
      </c>
      <c r="S623" t="b">
        <v>0</v>
      </c>
      <c r="T623">
        <v>1</v>
      </c>
      <c r="U623">
        <v>18</v>
      </c>
      <c r="V623" t="s">
        <v>0</v>
      </c>
    </row>
    <row r="624" spans="1:22" x14ac:dyDescent="0.25">
      <c r="A624" t="s">
        <v>1010</v>
      </c>
      <c r="B624">
        <v>2020</v>
      </c>
      <c r="C624" t="s">
        <v>81</v>
      </c>
      <c r="D624" t="s">
        <v>28</v>
      </c>
      <c r="E624" t="s">
        <v>36</v>
      </c>
      <c r="F624" t="s">
        <v>112</v>
      </c>
      <c r="G624" t="s">
        <v>16</v>
      </c>
      <c r="H624" t="s">
        <v>15</v>
      </c>
      <c r="I624" t="s">
        <v>68</v>
      </c>
      <c r="J624" t="s">
        <v>73</v>
      </c>
      <c r="K624">
        <v>0</v>
      </c>
      <c r="M624">
        <v>0.03</v>
      </c>
      <c r="N624" t="s">
        <v>1009</v>
      </c>
      <c r="P624">
        <v>51840</v>
      </c>
      <c r="Q624">
        <v>4.78</v>
      </c>
      <c r="R624">
        <v>0.65</v>
      </c>
      <c r="S624" t="b">
        <v>0</v>
      </c>
      <c r="T624">
        <v>1</v>
      </c>
      <c r="U624">
        <v>17</v>
      </c>
      <c r="V624" t="s">
        <v>0</v>
      </c>
    </row>
    <row r="625" spans="1:22" x14ac:dyDescent="0.25">
      <c r="A625" t="s">
        <v>1008</v>
      </c>
      <c r="B625">
        <v>2020</v>
      </c>
      <c r="C625" t="s">
        <v>137</v>
      </c>
      <c r="D625" t="s">
        <v>43</v>
      </c>
      <c r="E625" t="s">
        <v>42</v>
      </c>
      <c r="F625" t="s">
        <v>136</v>
      </c>
      <c r="G625" t="s">
        <v>5</v>
      </c>
      <c r="H625" t="s">
        <v>34</v>
      </c>
      <c r="I625" t="s">
        <v>33</v>
      </c>
      <c r="J625" t="s">
        <v>23</v>
      </c>
      <c r="K625">
        <v>1</v>
      </c>
      <c r="L625" t="s">
        <v>1006</v>
      </c>
      <c r="M625">
        <v>0.93</v>
      </c>
      <c r="N625" t="s">
        <v>1007</v>
      </c>
      <c r="O625" t="s">
        <v>1006</v>
      </c>
      <c r="P625">
        <v>118437</v>
      </c>
      <c r="Q625">
        <v>9.24</v>
      </c>
      <c r="R625">
        <v>0.18</v>
      </c>
      <c r="S625" t="b">
        <v>1</v>
      </c>
      <c r="T625">
        <v>3</v>
      </c>
      <c r="U625">
        <v>0</v>
      </c>
      <c r="V625" t="s">
        <v>0</v>
      </c>
    </row>
    <row r="626" spans="1:22" x14ac:dyDescent="0.25">
      <c r="A626" t="s">
        <v>1005</v>
      </c>
      <c r="B626">
        <v>2020</v>
      </c>
      <c r="C626" t="s">
        <v>29</v>
      </c>
      <c r="D626" t="s">
        <v>28</v>
      </c>
      <c r="E626" t="s">
        <v>116</v>
      </c>
      <c r="F626" t="s">
        <v>75</v>
      </c>
      <c r="G626" t="s">
        <v>62</v>
      </c>
      <c r="H626" t="s">
        <v>61</v>
      </c>
      <c r="I626" t="s">
        <v>40</v>
      </c>
      <c r="J626" t="s">
        <v>23</v>
      </c>
      <c r="K626">
        <v>0</v>
      </c>
      <c r="M626">
        <v>0.05</v>
      </c>
      <c r="N626" t="s">
        <v>1004</v>
      </c>
      <c r="P626">
        <v>51984</v>
      </c>
      <c r="Q626">
        <v>1.28</v>
      </c>
      <c r="R626">
        <v>0.75</v>
      </c>
      <c r="S626" t="b">
        <v>0</v>
      </c>
      <c r="T626">
        <v>1</v>
      </c>
      <c r="U626">
        <v>18</v>
      </c>
      <c r="V626" t="s">
        <v>0</v>
      </c>
    </row>
    <row r="627" spans="1:22" x14ac:dyDescent="0.25">
      <c r="A627" t="s">
        <v>1003</v>
      </c>
      <c r="B627">
        <v>2020</v>
      </c>
      <c r="C627" t="s">
        <v>65</v>
      </c>
      <c r="D627" t="s">
        <v>64</v>
      </c>
      <c r="E627" t="s">
        <v>56</v>
      </c>
      <c r="F627" t="s">
        <v>124</v>
      </c>
      <c r="G627" t="s">
        <v>16</v>
      </c>
      <c r="H627" t="s">
        <v>34</v>
      </c>
      <c r="I627" t="s">
        <v>40</v>
      </c>
      <c r="J627" t="s">
        <v>96</v>
      </c>
      <c r="K627">
        <v>0</v>
      </c>
      <c r="M627">
        <v>0.18</v>
      </c>
      <c r="N627" t="s">
        <v>1002</v>
      </c>
      <c r="P627">
        <v>101838</v>
      </c>
      <c r="Q627">
        <v>-4.8</v>
      </c>
      <c r="R627">
        <v>0.85</v>
      </c>
      <c r="S627" t="b">
        <v>0</v>
      </c>
      <c r="T627">
        <v>3</v>
      </c>
      <c r="U627">
        <v>14</v>
      </c>
      <c r="V627" t="s">
        <v>0</v>
      </c>
    </row>
    <row r="628" spans="1:22" x14ac:dyDescent="0.25">
      <c r="A628" t="s">
        <v>1001</v>
      </c>
      <c r="B628">
        <v>2020</v>
      </c>
      <c r="C628" t="s">
        <v>104</v>
      </c>
      <c r="D628" t="s">
        <v>8</v>
      </c>
      <c r="E628" t="s">
        <v>130</v>
      </c>
      <c r="F628" t="s">
        <v>26</v>
      </c>
      <c r="G628" t="s">
        <v>62</v>
      </c>
      <c r="H628" t="s">
        <v>85</v>
      </c>
      <c r="I628" t="s">
        <v>107</v>
      </c>
      <c r="J628" t="s">
        <v>96</v>
      </c>
      <c r="K628">
        <v>0</v>
      </c>
      <c r="M628">
        <v>0.19</v>
      </c>
      <c r="N628" t="s">
        <v>1000</v>
      </c>
      <c r="P628">
        <v>27181</v>
      </c>
      <c r="Q628">
        <v>-3.12</v>
      </c>
      <c r="R628">
        <v>0.76</v>
      </c>
      <c r="S628" t="b">
        <v>0</v>
      </c>
      <c r="T628">
        <v>2</v>
      </c>
      <c r="U628">
        <v>12</v>
      </c>
      <c r="V628" t="s">
        <v>0</v>
      </c>
    </row>
    <row r="629" spans="1:22" x14ac:dyDescent="0.25">
      <c r="A629" t="s">
        <v>999</v>
      </c>
      <c r="B629">
        <v>2020</v>
      </c>
      <c r="C629" t="s">
        <v>267</v>
      </c>
      <c r="D629" t="s">
        <v>43</v>
      </c>
      <c r="E629" t="s">
        <v>86</v>
      </c>
      <c r="F629" t="s">
        <v>41</v>
      </c>
      <c r="G629" t="s">
        <v>25</v>
      </c>
      <c r="H629" t="s">
        <v>4</v>
      </c>
      <c r="I629" t="s">
        <v>97</v>
      </c>
      <c r="J629" t="s">
        <v>96</v>
      </c>
      <c r="K629">
        <v>0</v>
      </c>
      <c r="M629">
        <v>0.09</v>
      </c>
      <c r="N629" t="s">
        <v>998</v>
      </c>
      <c r="P629">
        <v>74544</v>
      </c>
      <c r="Q629">
        <v>-1.85</v>
      </c>
      <c r="R629">
        <v>0.9</v>
      </c>
      <c r="S629" t="b">
        <v>0</v>
      </c>
      <c r="T629">
        <v>3</v>
      </c>
      <c r="U629">
        <v>8</v>
      </c>
      <c r="V629" t="s">
        <v>0</v>
      </c>
    </row>
    <row r="630" spans="1:22" x14ac:dyDescent="0.25">
      <c r="A630" t="s">
        <v>997</v>
      </c>
      <c r="B630">
        <v>2020</v>
      </c>
      <c r="C630" t="s">
        <v>304</v>
      </c>
      <c r="D630" t="s">
        <v>131</v>
      </c>
      <c r="E630" t="s">
        <v>116</v>
      </c>
      <c r="F630" t="s">
        <v>55</v>
      </c>
      <c r="G630" t="s">
        <v>5</v>
      </c>
      <c r="H630" t="s">
        <v>15</v>
      </c>
      <c r="I630" t="s">
        <v>90</v>
      </c>
      <c r="J630" t="s">
        <v>96</v>
      </c>
      <c r="K630">
        <v>0</v>
      </c>
      <c r="M630">
        <v>0.01</v>
      </c>
      <c r="N630" t="s">
        <v>996</v>
      </c>
      <c r="P630">
        <v>39246</v>
      </c>
      <c r="Q630">
        <v>0.65</v>
      </c>
      <c r="R630">
        <v>0.8</v>
      </c>
      <c r="S630" t="b">
        <v>0</v>
      </c>
      <c r="T630">
        <v>2</v>
      </c>
      <c r="U630">
        <v>12</v>
      </c>
      <c r="V630" t="s">
        <v>0</v>
      </c>
    </row>
    <row r="631" spans="1:22" x14ac:dyDescent="0.25">
      <c r="A631" t="s">
        <v>995</v>
      </c>
      <c r="B631">
        <v>2020</v>
      </c>
      <c r="C631" t="s">
        <v>51</v>
      </c>
      <c r="D631" t="s">
        <v>18</v>
      </c>
      <c r="E631" t="s">
        <v>50</v>
      </c>
      <c r="F631" t="s">
        <v>26</v>
      </c>
      <c r="G631" t="s">
        <v>25</v>
      </c>
      <c r="H631" t="s">
        <v>34</v>
      </c>
      <c r="I631" t="s">
        <v>33</v>
      </c>
      <c r="J631" t="s">
        <v>23</v>
      </c>
      <c r="K631">
        <v>0</v>
      </c>
      <c r="M631">
        <v>0.2</v>
      </c>
      <c r="N631" t="s">
        <v>994</v>
      </c>
      <c r="P631">
        <v>72941</v>
      </c>
      <c r="Q631">
        <v>-1.58</v>
      </c>
      <c r="R631">
        <v>0.81</v>
      </c>
      <c r="S631" t="b">
        <v>0</v>
      </c>
      <c r="T631">
        <v>2</v>
      </c>
      <c r="U631">
        <v>12</v>
      </c>
      <c r="V631" t="s">
        <v>0</v>
      </c>
    </row>
    <row r="632" spans="1:22" x14ac:dyDescent="0.25">
      <c r="A632" t="s">
        <v>993</v>
      </c>
      <c r="B632">
        <v>2020</v>
      </c>
      <c r="C632" t="s">
        <v>19</v>
      </c>
      <c r="D632" t="s">
        <v>18</v>
      </c>
      <c r="E632" t="s">
        <v>42</v>
      </c>
      <c r="F632" t="s">
        <v>35</v>
      </c>
      <c r="G632" t="s">
        <v>25</v>
      </c>
      <c r="H632" t="s">
        <v>15</v>
      </c>
      <c r="I632" t="s">
        <v>3</v>
      </c>
      <c r="J632" t="s">
        <v>2</v>
      </c>
      <c r="K632">
        <v>0</v>
      </c>
      <c r="M632">
        <v>0.11</v>
      </c>
      <c r="N632" t="s">
        <v>992</v>
      </c>
      <c r="P632">
        <v>72539</v>
      </c>
      <c r="Q632">
        <v>-0.42</v>
      </c>
      <c r="R632">
        <v>0.77</v>
      </c>
      <c r="S632" t="b">
        <v>0</v>
      </c>
      <c r="T632">
        <v>2</v>
      </c>
      <c r="U632">
        <v>5</v>
      </c>
      <c r="V632" t="s">
        <v>0</v>
      </c>
    </row>
    <row r="633" spans="1:22" x14ac:dyDescent="0.25">
      <c r="A633" t="s">
        <v>991</v>
      </c>
      <c r="B633">
        <v>2020</v>
      </c>
      <c r="C633" t="s">
        <v>176</v>
      </c>
      <c r="D633" t="s">
        <v>64</v>
      </c>
      <c r="E633" t="s">
        <v>17</v>
      </c>
      <c r="F633" t="s">
        <v>124</v>
      </c>
      <c r="G633" t="s">
        <v>135</v>
      </c>
      <c r="H633" t="s">
        <v>15</v>
      </c>
      <c r="I633" t="s">
        <v>14</v>
      </c>
      <c r="J633" t="s">
        <v>96</v>
      </c>
      <c r="K633">
        <v>0</v>
      </c>
      <c r="M633">
        <v>0.01</v>
      </c>
      <c r="N633" t="s">
        <v>990</v>
      </c>
      <c r="P633">
        <v>87209</v>
      </c>
      <c r="Q633">
        <v>1.36</v>
      </c>
      <c r="R633">
        <v>0.89</v>
      </c>
      <c r="S633" t="b">
        <v>0</v>
      </c>
      <c r="T633">
        <v>1</v>
      </c>
      <c r="U633">
        <v>19</v>
      </c>
      <c r="V633" t="s">
        <v>0</v>
      </c>
    </row>
    <row r="634" spans="1:22" x14ac:dyDescent="0.25">
      <c r="A634" t="s">
        <v>989</v>
      </c>
      <c r="B634">
        <v>2020</v>
      </c>
      <c r="C634" t="s">
        <v>98</v>
      </c>
      <c r="D634" t="s">
        <v>43</v>
      </c>
      <c r="E634" t="s">
        <v>17</v>
      </c>
      <c r="F634" t="s">
        <v>6</v>
      </c>
      <c r="G634" t="s">
        <v>62</v>
      </c>
      <c r="H634" t="s">
        <v>85</v>
      </c>
      <c r="I634" t="s">
        <v>107</v>
      </c>
      <c r="J634" t="s">
        <v>79</v>
      </c>
      <c r="K634">
        <v>0</v>
      </c>
      <c r="M634">
        <v>0.14000000000000001</v>
      </c>
      <c r="N634" t="s">
        <v>988</v>
      </c>
      <c r="P634">
        <v>68542</v>
      </c>
      <c r="Q634">
        <v>0.8</v>
      </c>
      <c r="R634">
        <v>0.85</v>
      </c>
      <c r="S634" t="b">
        <v>0</v>
      </c>
      <c r="T634">
        <v>1</v>
      </c>
      <c r="U634">
        <v>6</v>
      </c>
      <c r="V634" t="s">
        <v>0</v>
      </c>
    </row>
    <row r="635" spans="1:22" x14ac:dyDescent="0.25">
      <c r="A635" t="s">
        <v>987</v>
      </c>
      <c r="B635">
        <v>2020</v>
      </c>
      <c r="C635" t="s">
        <v>51</v>
      </c>
      <c r="D635" t="s">
        <v>18</v>
      </c>
      <c r="E635" t="s">
        <v>219</v>
      </c>
      <c r="F635" t="s">
        <v>26</v>
      </c>
      <c r="G635" t="s">
        <v>5</v>
      </c>
      <c r="H635" t="s">
        <v>49</v>
      </c>
      <c r="I635" t="s">
        <v>3</v>
      </c>
      <c r="J635" t="s">
        <v>79</v>
      </c>
      <c r="K635">
        <v>1</v>
      </c>
      <c r="L635" t="s">
        <v>384</v>
      </c>
      <c r="M635">
        <v>0.6</v>
      </c>
      <c r="N635" t="s">
        <v>986</v>
      </c>
      <c r="O635" t="s">
        <v>384</v>
      </c>
      <c r="P635">
        <v>93741</v>
      </c>
      <c r="Q635">
        <v>14.39</v>
      </c>
      <c r="R635">
        <v>0.12</v>
      </c>
      <c r="S635" t="b">
        <v>1</v>
      </c>
      <c r="T635">
        <v>1</v>
      </c>
      <c r="U635">
        <v>2</v>
      </c>
      <c r="V635" t="s">
        <v>0</v>
      </c>
    </row>
    <row r="636" spans="1:22" x14ac:dyDescent="0.25">
      <c r="A636" t="s">
        <v>985</v>
      </c>
      <c r="B636">
        <v>2020</v>
      </c>
      <c r="C636" t="s">
        <v>104</v>
      </c>
      <c r="D636" t="s">
        <v>8</v>
      </c>
      <c r="E636" t="s">
        <v>42</v>
      </c>
      <c r="F636" t="s">
        <v>41</v>
      </c>
      <c r="G636" t="s">
        <v>16</v>
      </c>
      <c r="H636" t="s">
        <v>102</v>
      </c>
      <c r="I636" t="s">
        <v>33</v>
      </c>
      <c r="J636" t="s">
        <v>79</v>
      </c>
      <c r="K636">
        <v>0</v>
      </c>
      <c r="M636">
        <v>0.03</v>
      </c>
      <c r="N636" t="s">
        <v>984</v>
      </c>
      <c r="P636">
        <v>24957</v>
      </c>
      <c r="Q636">
        <v>3.1</v>
      </c>
      <c r="R636">
        <v>0.78</v>
      </c>
      <c r="S636" t="b">
        <v>0</v>
      </c>
      <c r="T636">
        <v>1</v>
      </c>
      <c r="U636">
        <v>7</v>
      </c>
      <c r="V636" t="s">
        <v>0</v>
      </c>
    </row>
    <row r="637" spans="1:22" x14ac:dyDescent="0.25">
      <c r="A637" t="s">
        <v>983</v>
      </c>
      <c r="B637">
        <v>2020</v>
      </c>
      <c r="C637" t="s">
        <v>117</v>
      </c>
      <c r="D637" t="s">
        <v>91</v>
      </c>
      <c r="E637" t="s">
        <v>116</v>
      </c>
      <c r="F637" t="s">
        <v>115</v>
      </c>
      <c r="G637" t="s">
        <v>135</v>
      </c>
      <c r="H637" t="s">
        <v>85</v>
      </c>
      <c r="I637" t="s">
        <v>40</v>
      </c>
      <c r="J637" t="s">
        <v>2</v>
      </c>
      <c r="K637">
        <v>1</v>
      </c>
      <c r="L637" t="s">
        <v>981</v>
      </c>
      <c r="M637">
        <v>0.92</v>
      </c>
      <c r="N637" t="s">
        <v>982</v>
      </c>
      <c r="O637" t="s">
        <v>981</v>
      </c>
      <c r="P637">
        <v>101492</v>
      </c>
      <c r="Q637">
        <v>7.92</v>
      </c>
      <c r="R637">
        <v>0.38</v>
      </c>
      <c r="S637" t="b">
        <v>1</v>
      </c>
      <c r="T637">
        <v>3</v>
      </c>
      <c r="U637">
        <v>8</v>
      </c>
      <c r="V637" t="s">
        <v>0</v>
      </c>
    </row>
    <row r="638" spans="1:22" x14ac:dyDescent="0.25">
      <c r="A638" s="1" t="s">
        <v>980</v>
      </c>
      <c r="B638">
        <v>2020</v>
      </c>
      <c r="C638" t="s">
        <v>29</v>
      </c>
      <c r="D638" t="s">
        <v>28</v>
      </c>
      <c r="E638" t="s">
        <v>36</v>
      </c>
      <c r="F638" t="s">
        <v>115</v>
      </c>
      <c r="G638" t="s">
        <v>5</v>
      </c>
      <c r="H638" t="s">
        <v>179</v>
      </c>
      <c r="I638" t="s">
        <v>14</v>
      </c>
      <c r="J638" t="s">
        <v>73</v>
      </c>
      <c r="K638">
        <v>0</v>
      </c>
      <c r="M638">
        <v>0.03</v>
      </c>
      <c r="N638" t="s">
        <v>979</v>
      </c>
      <c r="P638">
        <v>39514</v>
      </c>
      <c r="Q638">
        <v>2.59</v>
      </c>
      <c r="R638">
        <v>0.8</v>
      </c>
      <c r="S638" t="b">
        <v>0</v>
      </c>
      <c r="T638">
        <v>2</v>
      </c>
      <c r="U638">
        <v>0</v>
      </c>
      <c r="V638" t="s">
        <v>0</v>
      </c>
    </row>
    <row r="639" spans="1:22" x14ac:dyDescent="0.25">
      <c r="A639" t="s">
        <v>978</v>
      </c>
      <c r="B639">
        <v>2020</v>
      </c>
      <c r="C639" t="s">
        <v>267</v>
      </c>
      <c r="D639" t="s">
        <v>43</v>
      </c>
      <c r="E639" t="s">
        <v>130</v>
      </c>
      <c r="F639" t="s">
        <v>112</v>
      </c>
      <c r="G639" t="s">
        <v>5</v>
      </c>
      <c r="H639" t="s">
        <v>85</v>
      </c>
      <c r="I639" t="s">
        <v>33</v>
      </c>
      <c r="J639" t="s">
        <v>73</v>
      </c>
      <c r="K639">
        <v>0</v>
      </c>
      <c r="M639">
        <v>0.18</v>
      </c>
      <c r="N639" t="s">
        <v>977</v>
      </c>
      <c r="P639">
        <v>67513</v>
      </c>
      <c r="Q639">
        <v>-2.6</v>
      </c>
      <c r="R639">
        <v>0.78</v>
      </c>
      <c r="S639" t="b">
        <v>0</v>
      </c>
      <c r="T639">
        <v>1</v>
      </c>
      <c r="U639">
        <v>15</v>
      </c>
      <c r="V639" t="s">
        <v>0</v>
      </c>
    </row>
    <row r="640" spans="1:22" x14ac:dyDescent="0.25">
      <c r="A640" t="s">
        <v>976</v>
      </c>
      <c r="B640">
        <v>2020</v>
      </c>
      <c r="C640" t="s">
        <v>183</v>
      </c>
      <c r="D640" t="s">
        <v>131</v>
      </c>
      <c r="E640" t="s">
        <v>86</v>
      </c>
      <c r="F640" t="s">
        <v>35</v>
      </c>
      <c r="G640" t="s">
        <v>62</v>
      </c>
      <c r="H640" t="s">
        <v>4</v>
      </c>
      <c r="I640" t="s">
        <v>68</v>
      </c>
      <c r="J640" t="s">
        <v>23</v>
      </c>
      <c r="K640">
        <v>1</v>
      </c>
      <c r="L640" t="s">
        <v>240</v>
      </c>
      <c r="M640">
        <v>0.76</v>
      </c>
      <c r="N640" t="s">
        <v>975</v>
      </c>
      <c r="O640" t="s">
        <v>240</v>
      </c>
      <c r="P640">
        <v>51134</v>
      </c>
      <c r="Q640">
        <v>5.31</v>
      </c>
      <c r="R640">
        <v>0.35</v>
      </c>
      <c r="S640" t="b">
        <v>1</v>
      </c>
      <c r="T640">
        <v>3</v>
      </c>
      <c r="U640">
        <v>10</v>
      </c>
      <c r="V640" t="s">
        <v>0</v>
      </c>
    </row>
    <row r="641" spans="1:22" x14ac:dyDescent="0.25">
      <c r="A641" t="s">
        <v>974</v>
      </c>
      <c r="B641">
        <v>2020</v>
      </c>
      <c r="C641" t="s">
        <v>92</v>
      </c>
      <c r="D641" t="s">
        <v>91</v>
      </c>
      <c r="E641" t="s">
        <v>147</v>
      </c>
      <c r="F641" t="s">
        <v>115</v>
      </c>
      <c r="G641" t="s">
        <v>25</v>
      </c>
      <c r="H641" t="s">
        <v>102</v>
      </c>
      <c r="I641" t="s">
        <v>97</v>
      </c>
      <c r="J641" t="s">
        <v>23</v>
      </c>
      <c r="K641">
        <v>1</v>
      </c>
      <c r="L641" t="s">
        <v>972</v>
      </c>
      <c r="M641">
        <v>0.81</v>
      </c>
      <c r="N641" t="s">
        <v>973</v>
      </c>
      <c r="O641" t="s">
        <v>972</v>
      </c>
      <c r="P641">
        <v>77547</v>
      </c>
      <c r="Q641">
        <v>12.57</v>
      </c>
      <c r="R641">
        <v>0.4</v>
      </c>
      <c r="S641" t="b">
        <v>1</v>
      </c>
      <c r="T641">
        <v>2</v>
      </c>
      <c r="U641">
        <v>11</v>
      </c>
      <c r="V641" t="s">
        <v>0</v>
      </c>
    </row>
    <row r="642" spans="1:22" x14ac:dyDescent="0.25">
      <c r="A642" t="s">
        <v>971</v>
      </c>
      <c r="B642">
        <v>2020</v>
      </c>
      <c r="C642" t="s">
        <v>183</v>
      </c>
      <c r="D642" t="s">
        <v>131</v>
      </c>
      <c r="E642" t="s">
        <v>17</v>
      </c>
      <c r="F642" t="s">
        <v>63</v>
      </c>
      <c r="G642" t="s">
        <v>62</v>
      </c>
      <c r="H642" t="s">
        <v>141</v>
      </c>
      <c r="I642" t="s">
        <v>3</v>
      </c>
      <c r="J642" t="s">
        <v>2</v>
      </c>
      <c r="K642">
        <v>0</v>
      </c>
      <c r="M642">
        <v>0.1</v>
      </c>
      <c r="N642" t="s">
        <v>970</v>
      </c>
      <c r="P642">
        <v>41198</v>
      </c>
      <c r="Q642">
        <v>1.63</v>
      </c>
      <c r="R642">
        <v>0.61</v>
      </c>
      <c r="S642" t="b">
        <v>0</v>
      </c>
      <c r="T642">
        <v>2</v>
      </c>
      <c r="U642">
        <v>8</v>
      </c>
      <c r="V642" t="s">
        <v>0</v>
      </c>
    </row>
    <row r="643" spans="1:22" x14ac:dyDescent="0.25">
      <c r="A643" t="s">
        <v>969</v>
      </c>
      <c r="B643">
        <v>2020</v>
      </c>
      <c r="C643" t="s">
        <v>126</v>
      </c>
      <c r="D643" t="s">
        <v>125</v>
      </c>
      <c r="E643" t="s">
        <v>17</v>
      </c>
      <c r="F643" t="s">
        <v>115</v>
      </c>
      <c r="G643" t="s">
        <v>5</v>
      </c>
      <c r="H643" t="s">
        <v>61</v>
      </c>
      <c r="I643" t="s">
        <v>24</v>
      </c>
      <c r="J643" t="s">
        <v>13</v>
      </c>
      <c r="K643">
        <v>1</v>
      </c>
      <c r="L643" t="s">
        <v>967</v>
      </c>
      <c r="M643">
        <v>0.6</v>
      </c>
      <c r="N643" t="s">
        <v>968</v>
      </c>
      <c r="O643" t="s">
        <v>967</v>
      </c>
      <c r="P643">
        <v>37113</v>
      </c>
      <c r="Q643">
        <v>14.25</v>
      </c>
      <c r="R643">
        <v>0.17</v>
      </c>
      <c r="S643" t="b">
        <v>1</v>
      </c>
      <c r="T643">
        <v>1</v>
      </c>
      <c r="U643">
        <v>13</v>
      </c>
      <c r="V643" t="s">
        <v>0</v>
      </c>
    </row>
    <row r="644" spans="1:22" x14ac:dyDescent="0.25">
      <c r="A644" t="s">
        <v>966</v>
      </c>
      <c r="B644">
        <v>2020</v>
      </c>
      <c r="C644" t="s">
        <v>148</v>
      </c>
      <c r="D644" t="s">
        <v>28</v>
      </c>
      <c r="E644" t="s">
        <v>116</v>
      </c>
      <c r="F644" t="s">
        <v>35</v>
      </c>
      <c r="G644" t="s">
        <v>62</v>
      </c>
      <c r="H644" t="s">
        <v>49</v>
      </c>
      <c r="I644" t="s">
        <v>97</v>
      </c>
      <c r="J644" t="s">
        <v>2</v>
      </c>
      <c r="K644">
        <v>0</v>
      </c>
      <c r="M644">
        <v>0.18</v>
      </c>
      <c r="N644" t="s">
        <v>965</v>
      </c>
      <c r="P644">
        <v>50899</v>
      </c>
      <c r="Q644">
        <v>1.05</v>
      </c>
      <c r="R644">
        <v>0.65</v>
      </c>
      <c r="S644" t="b">
        <v>0</v>
      </c>
      <c r="T644">
        <v>2</v>
      </c>
      <c r="U644">
        <v>11</v>
      </c>
      <c r="V644" t="s">
        <v>0</v>
      </c>
    </row>
    <row r="645" spans="1:22" x14ac:dyDescent="0.25">
      <c r="A645" t="s">
        <v>964</v>
      </c>
      <c r="B645">
        <v>2020</v>
      </c>
      <c r="C645" t="s">
        <v>236</v>
      </c>
      <c r="D645" t="s">
        <v>131</v>
      </c>
      <c r="E645" t="s">
        <v>7</v>
      </c>
      <c r="F645" t="s">
        <v>55</v>
      </c>
      <c r="G645" t="s">
        <v>16</v>
      </c>
      <c r="H645" t="s">
        <v>179</v>
      </c>
      <c r="I645" t="s">
        <v>14</v>
      </c>
      <c r="J645" t="s">
        <v>13</v>
      </c>
      <c r="K645">
        <v>0</v>
      </c>
      <c r="M645">
        <v>0.1</v>
      </c>
      <c r="N645" t="s">
        <v>963</v>
      </c>
      <c r="P645">
        <v>36225</v>
      </c>
      <c r="Q645">
        <v>3.76</v>
      </c>
      <c r="R645">
        <v>0.8</v>
      </c>
      <c r="S645" t="b">
        <v>0</v>
      </c>
      <c r="T645">
        <v>3</v>
      </c>
      <c r="U645">
        <v>12</v>
      </c>
      <c r="V645" t="s">
        <v>0</v>
      </c>
    </row>
    <row r="646" spans="1:22" x14ac:dyDescent="0.25">
      <c r="A646" t="s">
        <v>962</v>
      </c>
      <c r="B646">
        <v>2020</v>
      </c>
      <c r="C646" t="s">
        <v>86</v>
      </c>
      <c r="D646" t="s">
        <v>131</v>
      </c>
      <c r="E646" t="s">
        <v>36</v>
      </c>
      <c r="F646" t="s">
        <v>115</v>
      </c>
      <c r="G646" t="s">
        <v>25</v>
      </c>
      <c r="H646" t="s">
        <v>34</v>
      </c>
      <c r="I646" t="s">
        <v>74</v>
      </c>
      <c r="J646" t="s">
        <v>2</v>
      </c>
      <c r="K646">
        <v>0</v>
      </c>
      <c r="M646">
        <v>0.1</v>
      </c>
      <c r="N646" t="s">
        <v>961</v>
      </c>
      <c r="P646">
        <v>36816</v>
      </c>
      <c r="Q646">
        <v>4.4400000000000004</v>
      </c>
      <c r="R646">
        <v>0.81</v>
      </c>
      <c r="S646" t="b">
        <v>0</v>
      </c>
      <c r="T646">
        <v>1</v>
      </c>
      <c r="U646">
        <v>2</v>
      </c>
      <c r="V646" t="s">
        <v>0</v>
      </c>
    </row>
    <row r="647" spans="1:22" x14ac:dyDescent="0.25">
      <c r="A647" t="s">
        <v>960</v>
      </c>
      <c r="B647">
        <v>2020</v>
      </c>
      <c r="C647" t="s">
        <v>220</v>
      </c>
      <c r="D647" t="s">
        <v>91</v>
      </c>
      <c r="E647" t="s">
        <v>42</v>
      </c>
      <c r="F647" t="s">
        <v>136</v>
      </c>
      <c r="G647" t="s">
        <v>25</v>
      </c>
      <c r="H647" t="s">
        <v>61</v>
      </c>
      <c r="I647" t="s">
        <v>3</v>
      </c>
      <c r="J647" t="s">
        <v>13</v>
      </c>
      <c r="K647">
        <v>1</v>
      </c>
      <c r="L647" t="s">
        <v>550</v>
      </c>
      <c r="M647">
        <v>0.72</v>
      </c>
      <c r="N647" t="s">
        <v>959</v>
      </c>
      <c r="O647" t="s">
        <v>550</v>
      </c>
      <c r="P647">
        <v>96510</v>
      </c>
      <c r="Q647">
        <v>15.84</v>
      </c>
      <c r="R647">
        <v>0.14000000000000001</v>
      </c>
      <c r="S647" t="b">
        <v>1</v>
      </c>
      <c r="T647">
        <v>3</v>
      </c>
      <c r="U647">
        <v>4</v>
      </c>
      <c r="V647" t="s">
        <v>0</v>
      </c>
    </row>
    <row r="648" spans="1:22" x14ac:dyDescent="0.25">
      <c r="A648" t="s">
        <v>958</v>
      </c>
      <c r="B648">
        <v>2020</v>
      </c>
      <c r="C648" t="s">
        <v>333</v>
      </c>
      <c r="D648" t="s">
        <v>28</v>
      </c>
      <c r="E648" t="s">
        <v>121</v>
      </c>
      <c r="F648" t="s">
        <v>103</v>
      </c>
      <c r="G648" t="s">
        <v>16</v>
      </c>
      <c r="H648" t="s">
        <v>4</v>
      </c>
      <c r="I648" t="s">
        <v>24</v>
      </c>
      <c r="J648" t="s">
        <v>79</v>
      </c>
      <c r="K648">
        <v>1</v>
      </c>
      <c r="L648" t="s">
        <v>956</v>
      </c>
      <c r="M648">
        <v>0.92</v>
      </c>
      <c r="N648" t="s">
        <v>957</v>
      </c>
      <c r="O648" t="s">
        <v>956</v>
      </c>
      <c r="P648">
        <v>65485</v>
      </c>
      <c r="Q648">
        <v>6.09</v>
      </c>
      <c r="R648">
        <v>0.22</v>
      </c>
      <c r="S648" t="b">
        <v>1</v>
      </c>
      <c r="T648">
        <v>1</v>
      </c>
      <c r="U648">
        <v>10</v>
      </c>
      <c r="V648" t="s">
        <v>0</v>
      </c>
    </row>
    <row r="649" spans="1:22" x14ac:dyDescent="0.25">
      <c r="A649" t="s">
        <v>955</v>
      </c>
      <c r="B649">
        <v>2020</v>
      </c>
      <c r="C649" t="s">
        <v>9</v>
      </c>
      <c r="D649" t="s">
        <v>8</v>
      </c>
      <c r="E649" t="s">
        <v>182</v>
      </c>
      <c r="F649" t="s">
        <v>103</v>
      </c>
      <c r="G649" t="s">
        <v>135</v>
      </c>
      <c r="H649" t="s">
        <v>4</v>
      </c>
      <c r="I649" t="s">
        <v>3</v>
      </c>
      <c r="J649" t="s">
        <v>73</v>
      </c>
      <c r="K649">
        <v>0</v>
      </c>
      <c r="M649">
        <v>0.04</v>
      </c>
      <c r="N649" t="s">
        <v>954</v>
      </c>
      <c r="P649">
        <v>22857</v>
      </c>
      <c r="Q649">
        <v>1.42</v>
      </c>
      <c r="R649">
        <v>0.62</v>
      </c>
      <c r="S649" t="b">
        <v>0</v>
      </c>
      <c r="T649">
        <v>3</v>
      </c>
      <c r="U649">
        <v>8</v>
      </c>
      <c r="V649" t="s">
        <v>0</v>
      </c>
    </row>
    <row r="650" spans="1:22" x14ac:dyDescent="0.25">
      <c r="A650" t="s">
        <v>953</v>
      </c>
      <c r="B650">
        <v>2020</v>
      </c>
      <c r="C650" t="s">
        <v>51</v>
      </c>
      <c r="D650" t="s">
        <v>18</v>
      </c>
      <c r="E650" t="s">
        <v>50</v>
      </c>
      <c r="F650" t="s">
        <v>63</v>
      </c>
      <c r="G650" t="s">
        <v>16</v>
      </c>
      <c r="H650" t="s">
        <v>141</v>
      </c>
      <c r="I650" t="s">
        <v>40</v>
      </c>
      <c r="J650" t="s">
        <v>2</v>
      </c>
      <c r="K650">
        <v>1</v>
      </c>
      <c r="L650" t="s">
        <v>150</v>
      </c>
      <c r="M650">
        <v>0.65</v>
      </c>
      <c r="N650" t="s">
        <v>952</v>
      </c>
      <c r="O650" t="s">
        <v>150</v>
      </c>
      <c r="P650">
        <v>100789</v>
      </c>
      <c r="Q650">
        <v>8.18</v>
      </c>
      <c r="R650">
        <v>0.34</v>
      </c>
      <c r="S650" t="b">
        <v>1</v>
      </c>
      <c r="T650">
        <v>1</v>
      </c>
      <c r="U650">
        <v>6</v>
      </c>
      <c r="V650" t="s">
        <v>0</v>
      </c>
    </row>
    <row r="651" spans="1:22" x14ac:dyDescent="0.25">
      <c r="A651" t="s">
        <v>951</v>
      </c>
      <c r="B651">
        <v>2020</v>
      </c>
      <c r="C651" t="s">
        <v>117</v>
      </c>
      <c r="D651" t="s">
        <v>91</v>
      </c>
      <c r="E651" t="s">
        <v>182</v>
      </c>
      <c r="F651" t="s">
        <v>63</v>
      </c>
      <c r="G651" t="s">
        <v>5</v>
      </c>
      <c r="H651" t="s">
        <v>141</v>
      </c>
      <c r="I651" t="s">
        <v>74</v>
      </c>
      <c r="J651" t="s">
        <v>2</v>
      </c>
      <c r="K651">
        <v>0</v>
      </c>
      <c r="M651">
        <v>0.04</v>
      </c>
      <c r="N651" t="s">
        <v>950</v>
      </c>
      <c r="P651">
        <v>71269</v>
      </c>
      <c r="Q651">
        <v>4.25</v>
      </c>
      <c r="R651">
        <v>0.87</v>
      </c>
      <c r="S651" t="b">
        <v>0</v>
      </c>
      <c r="T651">
        <v>1</v>
      </c>
      <c r="U651">
        <v>4</v>
      </c>
      <c r="V651" t="s">
        <v>0</v>
      </c>
    </row>
    <row r="652" spans="1:22" x14ac:dyDescent="0.25">
      <c r="A652" t="s">
        <v>949</v>
      </c>
      <c r="B652">
        <v>2020</v>
      </c>
      <c r="C652" t="s">
        <v>86</v>
      </c>
      <c r="D652" t="s">
        <v>131</v>
      </c>
      <c r="E652" t="s">
        <v>182</v>
      </c>
      <c r="F652" t="s">
        <v>80</v>
      </c>
      <c r="G652" t="s">
        <v>5</v>
      </c>
      <c r="H652" t="s">
        <v>141</v>
      </c>
      <c r="I652" t="s">
        <v>68</v>
      </c>
      <c r="J652" t="s">
        <v>13</v>
      </c>
      <c r="K652">
        <v>0</v>
      </c>
      <c r="M652">
        <v>0.06</v>
      </c>
      <c r="N652" t="s">
        <v>948</v>
      </c>
      <c r="P652">
        <v>44759</v>
      </c>
      <c r="Q652">
        <v>2.71</v>
      </c>
      <c r="R652">
        <v>0.83</v>
      </c>
      <c r="S652" t="b">
        <v>0</v>
      </c>
      <c r="T652">
        <v>3</v>
      </c>
      <c r="U652">
        <v>1</v>
      </c>
      <c r="V652" t="s">
        <v>0</v>
      </c>
    </row>
    <row r="653" spans="1:22" x14ac:dyDescent="0.25">
      <c r="A653" t="s">
        <v>947</v>
      </c>
      <c r="B653">
        <v>2020</v>
      </c>
      <c r="C653" t="s">
        <v>126</v>
      </c>
      <c r="D653" t="s">
        <v>125</v>
      </c>
      <c r="E653" t="s">
        <v>36</v>
      </c>
      <c r="F653" t="s">
        <v>26</v>
      </c>
      <c r="G653" t="s">
        <v>25</v>
      </c>
      <c r="H653" t="s">
        <v>102</v>
      </c>
      <c r="I653" t="s">
        <v>97</v>
      </c>
      <c r="J653" t="s">
        <v>2</v>
      </c>
      <c r="K653">
        <v>1</v>
      </c>
      <c r="L653" t="s">
        <v>945</v>
      </c>
      <c r="M653">
        <v>0.92</v>
      </c>
      <c r="N653" t="s">
        <v>946</v>
      </c>
      <c r="O653" t="s">
        <v>945</v>
      </c>
      <c r="P653">
        <v>36905</v>
      </c>
      <c r="Q653">
        <v>9.5500000000000007</v>
      </c>
      <c r="R653">
        <v>0.16</v>
      </c>
      <c r="S653" t="b">
        <v>1</v>
      </c>
      <c r="T653">
        <v>1</v>
      </c>
      <c r="U653">
        <v>10</v>
      </c>
      <c r="V653" t="s">
        <v>0</v>
      </c>
    </row>
    <row r="654" spans="1:22" x14ac:dyDescent="0.25">
      <c r="A654" t="s">
        <v>944</v>
      </c>
      <c r="B654">
        <v>2020</v>
      </c>
      <c r="C654" t="s">
        <v>86</v>
      </c>
      <c r="D654" t="s">
        <v>131</v>
      </c>
      <c r="E654" t="s">
        <v>182</v>
      </c>
      <c r="F654" t="s">
        <v>75</v>
      </c>
      <c r="G654" t="s">
        <v>16</v>
      </c>
      <c r="H654" t="s">
        <v>141</v>
      </c>
      <c r="I654" t="s">
        <v>40</v>
      </c>
      <c r="J654" t="s">
        <v>79</v>
      </c>
      <c r="K654">
        <v>0</v>
      </c>
      <c r="M654">
        <v>0.03</v>
      </c>
      <c r="N654" t="s">
        <v>943</v>
      </c>
      <c r="P654">
        <v>36913</v>
      </c>
      <c r="Q654">
        <v>0.28999999999999998</v>
      </c>
      <c r="R654">
        <v>0.74</v>
      </c>
      <c r="S654" t="b">
        <v>0</v>
      </c>
      <c r="T654">
        <v>1</v>
      </c>
      <c r="U654">
        <v>15</v>
      </c>
      <c r="V654" t="s">
        <v>0</v>
      </c>
    </row>
    <row r="655" spans="1:22" x14ac:dyDescent="0.25">
      <c r="A655" t="s">
        <v>942</v>
      </c>
      <c r="B655">
        <v>2020</v>
      </c>
      <c r="C655" t="s">
        <v>86</v>
      </c>
      <c r="D655" t="s">
        <v>131</v>
      </c>
      <c r="E655" t="s">
        <v>50</v>
      </c>
      <c r="F655" t="s">
        <v>26</v>
      </c>
      <c r="G655" t="s">
        <v>25</v>
      </c>
      <c r="H655" t="s">
        <v>85</v>
      </c>
      <c r="I655" t="s">
        <v>33</v>
      </c>
      <c r="J655" t="s">
        <v>23</v>
      </c>
      <c r="K655">
        <v>0</v>
      </c>
      <c r="M655">
        <v>0.17</v>
      </c>
      <c r="N655" t="s">
        <v>941</v>
      </c>
      <c r="P655">
        <v>35683</v>
      </c>
      <c r="Q655">
        <v>-0.89</v>
      </c>
      <c r="R655">
        <v>0.6</v>
      </c>
      <c r="S655" t="b">
        <v>0</v>
      </c>
      <c r="T655">
        <v>3</v>
      </c>
      <c r="U655">
        <v>1</v>
      </c>
      <c r="V655" t="s">
        <v>0</v>
      </c>
    </row>
    <row r="656" spans="1:22" x14ac:dyDescent="0.25">
      <c r="A656" t="s">
        <v>940</v>
      </c>
      <c r="B656">
        <v>2020</v>
      </c>
      <c r="C656" t="s">
        <v>65</v>
      </c>
      <c r="D656" t="s">
        <v>64</v>
      </c>
      <c r="E656" t="s">
        <v>147</v>
      </c>
      <c r="F656" t="s">
        <v>124</v>
      </c>
      <c r="G656" t="s">
        <v>16</v>
      </c>
      <c r="H656" t="s">
        <v>4</v>
      </c>
      <c r="I656" t="s">
        <v>107</v>
      </c>
      <c r="J656" t="s">
        <v>13</v>
      </c>
      <c r="K656">
        <v>0</v>
      </c>
      <c r="M656">
        <v>0.19</v>
      </c>
      <c r="N656" t="s">
        <v>939</v>
      </c>
      <c r="P656">
        <v>93809</v>
      </c>
      <c r="Q656">
        <v>3.52</v>
      </c>
      <c r="R656">
        <v>0.71</v>
      </c>
      <c r="S656" t="b">
        <v>0</v>
      </c>
      <c r="T656">
        <v>1</v>
      </c>
      <c r="U656">
        <v>8</v>
      </c>
      <c r="V656" t="s">
        <v>0</v>
      </c>
    </row>
    <row r="657" spans="1:22" x14ac:dyDescent="0.25">
      <c r="A657" t="s">
        <v>938</v>
      </c>
      <c r="B657">
        <v>2020</v>
      </c>
      <c r="C657" t="s">
        <v>358</v>
      </c>
      <c r="D657" t="s">
        <v>131</v>
      </c>
      <c r="E657" t="s">
        <v>130</v>
      </c>
      <c r="F657" t="s">
        <v>156</v>
      </c>
      <c r="G657" t="s">
        <v>135</v>
      </c>
      <c r="H657" t="s">
        <v>15</v>
      </c>
      <c r="I657" t="s">
        <v>68</v>
      </c>
      <c r="J657" t="s">
        <v>79</v>
      </c>
      <c r="K657">
        <v>0</v>
      </c>
      <c r="M657">
        <v>0.11</v>
      </c>
      <c r="N657" t="s">
        <v>937</v>
      </c>
      <c r="P657">
        <v>41219</v>
      </c>
      <c r="Q657">
        <v>-3.97</v>
      </c>
      <c r="R657">
        <v>0.87</v>
      </c>
      <c r="S657" t="b">
        <v>0</v>
      </c>
      <c r="T657">
        <v>3</v>
      </c>
      <c r="U657">
        <v>4</v>
      </c>
      <c r="V657" t="s">
        <v>0</v>
      </c>
    </row>
    <row r="658" spans="1:22" x14ac:dyDescent="0.25">
      <c r="A658" t="s">
        <v>936</v>
      </c>
      <c r="B658">
        <v>2020</v>
      </c>
      <c r="C658" t="s">
        <v>176</v>
      </c>
      <c r="D658" t="s">
        <v>64</v>
      </c>
      <c r="E658" t="s">
        <v>42</v>
      </c>
      <c r="F658" t="s">
        <v>55</v>
      </c>
      <c r="G658" t="s">
        <v>25</v>
      </c>
      <c r="H658" t="s">
        <v>4</v>
      </c>
      <c r="I658" t="s">
        <v>107</v>
      </c>
      <c r="J658" t="s">
        <v>73</v>
      </c>
      <c r="K658">
        <v>1</v>
      </c>
      <c r="L658" t="s">
        <v>384</v>
      </c>
      <c r="M658">
        <v>0.45</v>
      </c>
      <c r="N658" t="s">
        <v>935</v>
      </c>
      <c r="O658" t="s">
        <v>384</v>
      </c>
      <c r="P658">
        <v>138241</v>
      </c>
      <c r="Q658">
        <v>12.01</v>
      </c>
      <c r="R658">
        <v>0.21</v>
      </c>
      <c r="S658" t="b">
        <v>1</v>
      </c>
      <c r="T658">
        <v>1</v>
      </c>
      <c r="U658">
        <v>2</v>
      </c>
      <c r="V658" t="s">
        <v>0</v>
      </c>
    </row>
    <row r="659" spans="1:22" x14ac:dyDescent="0.25">
      <c r="A659" t="s">
        <v>934</v>
      </c>
      <c r="B659">
        <v>2020</v>
      </c>
      <c r="C659" t="s">
        <v>220</v>
      </c>
      <c r="D659" t="s">
        <v>91</v>
      </c>
      <c r="E659" t="s">
        <v>86</v>
      </c>
      <c r="F659" t="s">
        <v>69</v>
      </c>
      <c r="G659" t="s">
        <v>16</v>
      </c>
      <c r="H659" t="s">
        <v>61</v>
      </c>
      <c r="I659" t="s">
        <v>68</v>
      </c>
      <c r="J659" t="s">
        <v>79</v>
      </c>
      <c r="K659">
        <v>1</v>
      </c>
      <c r="L659" t="s">
        <v>201</v>
      </c>
      <c r="M659">
        <v>0.47</v>
      </c>
      <c r="N659" t="s">
        <v>933</v>
      </c>
      <c r="O659" t="s">
        <v>201</v>
      </c>
      <c r="P659">
        <v>91985</v>
      </c>
      <c r="Q659">
        <v>17.23</v>
      </c>
      <c r="R659">
        <v>0.11</v>
      </c>
      <c r="S659" t="b">
        <v>1</v>
      </c>
      <c r="T659">
        <v>1</v>
      </c>
      <c r="U659">
        <v>4</v>
      </c>
      <c r="V659" t="s">
        <v>0</v>
      </c>
    </row>
    <row r="660" spans="1:22" x14ac:dyDescent="0.25">
      <c r="A660" t="s">
        <v>932</v>
      </c>
      <c r="B660">
        <v>2020</v>
      </c>
      <c r="C660" t="s">
        <v>152</v>
      </c>
      <c r="D660" t="s">
        <v>28</v>
      </c>
      <c r="E660" t="s">
        <v>36</v>
      </c>
      <c r="F660" t="s">
        <v>69</v>
      </c>
      <c r="G660" t="s">
        <v>16</v>
      </c>
      <c r="H660" t="s">
        <v>102</v>
      </c>
      <c r="I660" t="s">
        <v>24</v>
      </c>
      <c r="J660" t="s">
        <v>79</v>
      </c>
      <c r="K660">
        <v>0</v>
      </c>
      <c r="M660">
        <v>0.08</v>
      </c>
      <c r="N660" t="s">
        <v>931</v>
      </c>
      <c r="P660">
        <v>39439</v>
      </c>
      <c r="Q660">
        <v>1.48</v>
      </c>
      <c r="R660">
        <v>0.62</v>
      </c>
      <c r="S660" t="b">
        <v>0</v>
      </c>
      <c r="T660">
        <v>3</v>
      </c>
      <c r="U660">
        <v>13</v>
      </c>
      <c r="V660" t="s">
        <v>0</v>
      </c>
    </row>
    <row r="661" spans="1:22" x14ac:dyDescent="0.25">
      <c r="A661" t="s">
        <v>930</v>
      </c>
      <c r="B661">
        <v>2020</v>
      </c>
      <c r="C661" t="s">
        <v>70</v>
      </c>
      <c r="D661" t="s">
        <v>18</v>
      </c>
      <c r="E661" t="s">
        <v>86</v>
      </c>
      <c r="F661" t="s">
        <v>124</v>
      </c>
      <c r="G661" t="s">
        <v>25</v>
      </c>
      <c r="H661" t="s">
        <v>15</v>
      </c>
      <c r="I661" t="s">
        <v>74</v>
      </c>
      <c r="J661" t="s">
        <v>23</v>
      </c>
      <c r="K661">
        <v>1</v>
      </c>
      <c r="L661" t="s">
        <v>110</v>
      </c>
      <c r="M661">
        <v>0.55000000000000004</v>
      </c>
      <c r="N661" t="s">
        <v>929</v>
      </c>
      <c r="O661" t="s">
        <v>110</v>
      </c>
      <c r="P661">
        <v>101354</v>
      </c>
      <c r="Q661">
        <v>15.12</v>
      </c>
      <c r="R661">
        <v>0.2</v>
      </c>
      <c r="S661" t="b">
        <v>1</v>
      </c>
      <c r="T661">
        <v>2</v>
      </c>
      <c r="U661">
        <v>5</v>
      </c>
      <c r="V661" t="s">
        <v>0</v>
      </c>
    </row>
    <row r="662" spans="1:22" x14ac:dyDescent="0.25">
      <c r="A662" s="1" t="s">
        <v>928</v>
      </c>
      <c r="B662">
        <v>2020</v>
      </c>
      <c r="C662" t="s">
        <v>161</v>
      </c>
      <c r="D662" t="s">
        <v>8</v>
      </c>
      <c r="E662" t="s">
        <v>36</v>
      </c>
      <c r="F662" t="s">
        <v>80</v>
      </c>
      <c r="G662" t="s">
        <v>62</v>
      </c>
      <c r="H662" t="s">
        <v>15</v>
      </c>
      <c r="I662" t="s">
        <v>40</v>
      </c>
      <c r="J662" t="s">
        <v>23</v>
      </c>
      <c r="K662">
        <v>0</v>
      </c>
      <c r="M662">
        <v>0.04</v>
      </c>
      <c r="N662" t="s">
        <v>927</v>
      </c>
      <c r="P662">
        <v>23614</v>
      </c>
      <c r="Q662">
        <v>1.28</v>
      </c>
      <c r="R662">
        <v>0.64</v>
      </c>
      <c r="S662" t="b">
        <v>0</v>
      </c>
      <c r="T662">
        <v>3</v>
      </c>
      <c r="U662">
        <v>7</v>
      </c>
      <c r="V662" t="s">
        <v>0</v>
      </c>
    </row>
    <row r="663" spans="1:22" x14ac:dyDescent="0.25">
      <c r="A663" t="s">
        <v>926</v>
      </c>
      <c r="B663">
        <v>2020</v>
      </c>
      <c r="C663" t="s">
        <v>348</v>
      </c>
      <c r="D663" t="s">
        <v>64</v>
      </c>
      <c r="E663" t="s">
        <v>121</v>
      </c>
      <c r="F663" t="s">
        <v>124</v>
      </c>
      <c r="G663" t="s">
        <v>135</v>
      </c>
      <c r="H663" t="s">
        <v>4</v>
      </c>
      <c r="I663" t="s">
        <v>97</v>
      </c>
      <c r="J663" t="s">
        <v>13</v>
      </c>
      <c r="K663">
        <v>0</v>
      </c>
      <c r="M663">
        <v>0.08</v>
      </c>
      <c r="N663" t="s">
        <v>925</v>
      </c>
      <c r="P663">
        <v>77817</v>
      </c>
      <c r="Q663">
        <v>3.23</v>
      </c>
      <c r="R663">
        <v>0.66</v>
      </c>
      <c r="S663" t="b">
        <v>0</v>
      </c>
      <c r="T663">
        <v>3</v>
      </c>
      <c r="U663">
        <v>18</v>
      </c>
      <c r="V663" t="s">
        <v>0</v>
      </c>
    </row>
    <row r="664" spans="1:22" x14ac:dyDescent="0.25">
      <c r="A664" t="s">
        <v>924</v>
      </c>
      <c r="B664">
        <v>2020</v>
      </c>
      <c r="C664" t="s">
        <v>58</v>
      </c>
      <c r="D664" t="s">
        <v>57</v>
      </c>
      <c r="E664" t="s">
        <v>182</v>
      </c>
      <c r="F664" t="s">
        <v>75</v>
      </c>
      <c r="G664" t="s">
        <v>62</v>
      </c>
      <c r="H664" t="s">
        <v>179</v>
      </c>
      <c r="I664" t="s">
        <v>68</v>
      </c>
      <c r="J664" t="s">
        <v>13</v>
      </c>
      <c r="K664">
        <v>0</v>
      </c>
      <c r="M664">
        <v>0.03</v>
      </c>
      <c r="N664" t="s">
        <v>923</v>
      </c>
      <c r="P664">
        <v>94097</v>
      </c>
      <c r="Q664">
        <v>1.32</v>
      </c>
      <c r="R664">
        <v>0.6</v>
      </c>
      <c r="S664" t="b">
        <v>0</v>
      </c>
      <c r="T664">
        <v>2</v>
      </c>
      <c r="U664">
        <v>18</v>
      </c>
      <c r="V664" t="s">
        <v>0</v>
      </c>
    </row>
    <row r="665" spans="1:22" x14ac:dyDescent="0.25">
      <c r="A665" t="s">
        <v>922</v>
      </c>
      <c r="B665">
        <v>2020</v>
      </c>
      <c r="C665" t="s">
        <v>348</v>
      </c>
      <c r="D665" t="s">
        <v>64</v>
      </c>
      <c r="E665" t="s">
        <v>116</v>
      </c>
      <c r="F665" t="s">
        <v>115</v>
      </c>
      <c r="G665" t="s">
        <v>25</v>
      </c>
      <c r="H665" t="s">
        <v>34</v>
      </c>
      <c r="I665" t="s">
        <v>3</v>
      </c>
      <c r="J665" t="s">
        <v>73</v>
      </c>
      <c r="K665">
        <v>1</v>
      </c>
      <c r="L665" t="s">
        <v>920</v>
      </c>
      <c r="M665">
        <v>0.84</v>
      </c>
      <c r="N665" t="s">
        <v>921</v>
      </c>
      <c r="O665" t="s">
        <v>920</v>
      </c>
      <c r="P665">
        <v>129995</v>
      </c>
      <c r="Q665">
        <v>10.53</v>
      </c>
      <c r="R665">
        <v>0.28000000000000003</v>
      </c>
      <c r="S665" t="b">
        <v>1</v>
      </c>
      <c r="T665">
        <v>3</v>
      </c>
      <c r="U665">
        <v>4</v>
      </c>
      <c r="V665" t="s">
        <v>0</v>
      </c>
    </row>
    <row r="666" spans="1:22" x14ac:dyDescent="0.25">
      <c r="A666" t="s">
        <v>919</v>
      </c>
      <c r="B666">
        <v>2020</v>
      </c>
      <c r="C666" t="s">
        <v>176</v>
      </c>
      <c r="D666" t="s">
        <v>64</v>
      </c>
      <c r="E666" t="s">
        <v>182</v>
      </c>
      <c r="F666" t="s">
        <v>35</v>
      </c>
      <c r="G666" t="s">
        <v>5</v>
      </c>
      <c r="H666" t="s">
        <v>85</v>
      </c>
      <c r="I666" t="s">
        <v>107</v>
      </c>
      <c r="J666" t="s">
        <v>73</v>
      </c>
      <c r="K666">
        <v>0</v>
      </c>
      <c r="M666">
        <v>0.01</v>
      </c>
      <c r="N666" t="s">
        <v>918</v>
      </c>
      <c r="P666">
        <v>96533</v>
      </c>
      <c r="Q666">
        <v>-3.32</v>
      </c>
      <c r="R666">
        <v>0.61</v>
      </c>
      <c r="S666" t="b">
        <v>0</v>
      </c>
      <c r="T666">
        <v>3</v>
      </c>
      <c r="U666">
        <v>4</v>
      </c>
      <c r="V666" t="s">
        <v>0</v>
      </c>
    </row>
    <row r="667" spans="1:22" x14ac:dyDescent="0.25">
      <c r="A667" t="s">
        <v>917</v>
      </c>
      <c r="B667">
        <v>2020</v>
      </c>
      <c r="C667" t="s">
        <v>378</v>
      </c>
      <c r="D667" t="s">
        <v>43</v>
      </c>
      <c r="E667" t="s">
        <v>86</v>
      </c>
      <c r="F667" t="s">
        <v>41</v>
      </c>
      <c r="G667" t="s">
        <v>16</v>
      </c>
      <c r="H667" t="s">
        <v>179</v>
      </c>
      <c r="I667" t="s">
        <v>90</v>
      </c>
      <c r="J667" t="s">
        <v>73</v>
      </c>
      <c r="K667">
        <v>1</v>
      </c>
      <c r="L667" t="s">
        <v>915</v>
      </c>
      <c r="M667">
        <v>0.59</v>
      </c>
      <c r="N667" t="s">
        <v>916</v>
      </c>
      <c r="O667" t="s">
        <v>915</v>
      </c>
      <c r="P667">
        <v>121086</v>
      </c>
      <c r="Q667">
        <v>17.100000000000001</v>
      </c>
      <c r="R667">
        <v>0.37</v>
      </c>
      <c r="S667" t="b">
        <v>1</v>
      </c>
      <c r="T667">
        <v>2</v>
      </c>
      <c r="U667">
        <v>3</v>
      </c>
      <c r="V667" t="s">
        <v>0</v>
      </c>
    </row>
    <row r="668" spans="1:22" x14ac:dyDescent="0.25">
      <c r="A668" t="s">
        <v>914</v>
      </c>
      <c r="B668">
        <v>2020</v>
      </c>
      <c r="C668" t="s">
        <v>98</v>
      </c>
      <c r="D668" t="s">
        <v>43</v>
      </c>
      <c r="E668" t="s">
        <v>50</v>
      </c>
      <c r="F668" t="s">
        <v>75</v>
      </c>
      <c r="G668" t="s">
        <v>135</v>
      </c>
      <c r="H668" t="s">
        <v>102</v>
      </c>
      <c r="I668" t="s">
        <v>40</v>
      </c>
      <c r="J668" t="s">
        <v>23</v>
      </c>
      <c r="K668">
        <v>1</v>
      </c>
      <c r="L668" t="s">
        <v>912</v>
      </c>
      <c r="M668">
        <v>0.52</v>
      </c>
      <c r="N668" t="s">
        <v>913</v>
      </c>
      <c r="O668" t="s">
        <v>912</v>
      </c>
      <c r="P668">
        <v>105251</v>
      </c>
      <c r="Q668">
        <v>8.32</v>
      </c>
      <c r="R668">
        <v>0.37</v>
      </c>
      <c r="S668" t="b">
        <v>1</v>
      </c>
      <c r="T668">
        <v>3</v>
      </c>
      <c r="U668">
        <v>4</v>
      </c>
      <c r="V668" t="s">
        <v>0</v>
      </c>
    </row>
    <row r="669" spans="1:22" x14ac:dyDescent="0.25">
      <c r="A669" t="s">
        <v>911</v>
      </c>
      <c r="B669">
        <v>2020</v>
      </c>
      <c r="C669" t="s">
        <v>215</v>
      </c>
      <c r="D669" t="s">
        <v>91</v>
      </c>
      <c r="E669" t="s">
        <v>36</v>
      </c>
      <c r="F669" t="s">
        <v>35</v>
      </c>
      <c r="G669" t="s">
        <v>5</v>
      </c>
      <c r="H669" t="s">
        <v>15</v>
      </c>
      <c r="I669" t="s">
        <v>107</v>
      </c>
      <c r="J669" t="s">
        <v>2</v>
      </c>
      <c r="K669">
        <v>0</v>
      </c>
      <c r="M669">
        <v>0.18</v>
      </c>
      <c r="N669" t="s">
        <v>910</v>
      </c>
      <c r="P669">
        <v>70801</v>
      </c>
      <c r="Q669">
        <v>-2.3199999999999998</v>
      </c>
      <c r="R669">
        <v>0.83</v>
      </c>
      <c r="S669" t="b">
        <v>0</v>
      </c>
      <c r="T669">
        <v>3</v>
      </c>
      <c r="U669">
        <v>12</v>
      </c>
      <c r="V669" t="s">
        <v>0</v>
      </c>
    </row>
    <row r="670" spans="1:22" x14ac:dyDescent="0.25">
      <c r="A670" t="s">
        <v>909</v>
      </c>
      <c r="B670">
        <v>2020</v>
      </c>
      <c r="C670" t="s">
        <v>171</v>
      </c>
      <c r="D670" t="s">
        <v>57</v>
      </c>
      <c r="E670" t="s">
        <v>27</v>
      </c>
      <c r="F670" t="s">
        <v>63</v>
      </c>
      <c r="G670" t="s">
        <v>135</v>
      </c>
      <c r="H670" t="s">
        <v>4</v>
      </c>
      <c r="I670" t="s">
        <v>40</v>
      </c>
      <c r="J670" t="s">
        <v>13</v>
      </c>
      <c r="K670">
        <v>0</v>
      </c>
      <c r="M670">
        <v>0.09</v>
      </c>
      <c r="N670" t="s">
        <v>908</v>
      </c>
      <c r="P670">
        <v>75172</v>
      </c>
      <c r="Q670">
        <v>-0.7</v>
      </c>
      <c r="R670">
        <v>0.8</v>
      </c>
      <c r="S670" t="b">
        <v>0</v>
      </c>
      <c r="T670">
        <v>3</v>
      </c>
      <c r="U670">
        <v>11</v>
      </c>
      <c r="V670" t="s">
        <v>0</v>
      </c>
    </row>
    <row r="671" spans="1:22" x14ac:dyDescent="0.25">
      <c r="A671" t="s">
        <v>907</v>
      </c>
      <c r="B671">
        <v>2020</v>
      </c>
      <c r="C671" t="s">
        <v>382</v>
      </c>
      <c r="D671" t="s">
        <v>125</v>
      </c>
      <c r="E671" t="s">
        <v>7</v>
      </c>
      <c r="F671" t="s">
        <v>35</v>
      </c>
      <c r="G671" t="s">
        <v>5</v>
      </c>
      <c r="H671" t="s">
        <v>34</v>
      </c>
      <c r="I671" t="s">
        <v>90</v>
      </c>
      <c r="J671" t="s">
        <v>96</v>
      </c>
      <c r="K671">
        <v>1</v>
      </c>
      <c r="L671" t="s">
        <v>905</v>
      </c>
      <c r="M671">
        <v>0.5</v>
      </c>
      <c r="N671" t="s">
        <v>906</v>
      </c>
      <c r="O671" t="s">
        <v>905</v>
      </c>
      <c r="P671">
        <v>32410</v>
      </c>
      <c r="Q671">
        <v>6.03</v>
      </c>
      <c r="R671">
        <v>0.36</v>
      </c>
      <c r="S671" t="b">
        <v>1</v>
      </c>
      <c r="T671">
        <v>3</v>
      </c>
      <c r="U671">
        <v>14</v>
      </c>
      <c r="V671" t="s">
        <v>0</v>
      </c>
    </row>
    <row r="672" spans="1:22" x14ac:dyDescent="0.25">
      <c r="A672" t="s">
        <v>904</v>
      </c>
      <c r="B672">
        <v>2020</v>
      </c>
      <c r="C672" t="s">
        <v>157</v>
      </c>
      <c r="D672" t="s">
        <v>18</v>
      </c>
      <c r="E672" t="s">
        <v>7</v>
      </c>
      <c r="F672" t="s">
        <v>115</v>
      </c>
      <c r="G672" t="s">
        <v>5</v>
      </c>
      <c r="H672" t="s">
        <v>179</v>
      </c>
      <c r="I672" t="s">
        <v>3</v>
      </c>
      <c r="J672" t="s">
        <v>96</v>
      </c>
      <c r="K672">
        <v>0</v>
      </c>
      <c r="M672">
        <v>0.11</v>
      </c>
      <c r="N672" t="s">
        <v>903</v>
      </c>
      <c r="P672">
        <v>70003</v>
      </c>
      <c r="Q672">
        <v>3.06</v>
      </c>
      <c r="R672">
        <v>0.88</v>
      </c>
      <c r="S672" t="b">
        <v>0</v>
      </c>
      <c r="T672">
        <v>2</v>
      </c>
      <c r="U672">
        <v>12</v>
      </c>
      <c r="V672" t="s">
        <v>0</v>
      </c>
    </row>
    <row r="673" spans="1:22" x14ac:dyDescent="0.25">
      <c r="A673" t="s">
        <v>902</v>
      </c>
      <c r="B673">
        <v>2020</v>
      </c>
      <c r="C673" t="s">
        <v>233</v>
      </c>
      <c r="D673" t="s">
        <v>125</v>
      </c>
      <c r="E673" t="s">
        <v>121</v>
      </c>
      <c r="F673" t="s">
        <v>55</v>
      </c>
      <c r="G673" t="s">
        <v>5</v>
      </c>
      <c r="H673" t="s">
        <v>34</v>
      </c>
      <c r="I673" t="s">
        <v>68</v>
      </c>
      <c r="J673" t="s">
        <v>96</v>
      </c>
      <c r="K673">
        <v>0</v>
      </c>
      <c r="M673">
        <v>0.01</v>
      </c>
      <c r="N673" t="s">
        <v>901</v>
      </c>
      <c r="P673">
        <v>21260</v>
      </c>
      <c r="Q673">
        <v>0.3</v>
      </c>
      <c r="R673">
        <v>0.73</v>
      </c>
      <c r="S673" t="b">
        <v>0</v>
      </c>
      <c r="T673">
        <v>3</v>
      </c>
      <c r="U673">
        <v>5</v>
      </c>
      <c r="V673" t="s">
        <v>0</v>
      </c>
    </row>
    <row r="674" spans="1:22" x14ac:dyDescent="0.25">
      <c r="A674" t="s">
        <v>900</v>
      </c>
      <c r="B674">
        <v>2020</v>
      </c>
      <c r="C674" t="s">
        <v>65</v>
      </c>
      <c r="D674" t="s">
        <v>64</v>
      </c>
      <c r="E674" t="s">
        <v>42</v>
      </c>
      <c r="F674" t="s">
        <v>103</v>
      </c>
      <c r="G674" t="s">
        <v>135</v>
      </c>
      <c r="H674" t="s">
        <v>102</v>
      </c>
      <c r="I674" t="s">
        <v>40</v>
      </c>
      <c r="J674" t="s">
        <v>13</v>
      </c>
      <c r="K674">
        <v>1</v>
      </c>
      <c r="L674" t="s">
        <v>898</v>
      </c>
      <c r="M674">
        <v>0.91</v>
      </c>
      <c r="N674" t="s">
        <v>899</v>
      </c>
      <c r="O674" t="s">
        <v>898</v>
      </c>
      <c r="P674">
        <v>138677</v>
      </c>
      <c r="Q674">
        <v>11.9</v>
      </c>
      <c r="R674">
        <v>0.16</v>
      </c>
      <c r="S674" t="b">
        <v>1</v>
      </c>
      <c r="T674">
        <v>1</v>
      </c>
      <c r="U674">
        <v>6</v>
      </c>
      <c r="V674" t="s">
        <v>0</v>
      </c>
    </row>
    <row r="675" spans="1:22" x14ac:dyDescent="0.25">
      <c r="A675" t="s">
        <v>897</v>
      </c>
      <c r="B675">
        <v>2020</v>
      </c>
      <c r="C675" t="s">
        <v>152</v>
      </c>
      <c r="D675" t="s">
        <v>28</v>
      </c>
      <c r="E675" t="s">
        <v>147</v>
      </c>
      <c r="F675" t="s">
        <v>26</v>
      </c>
      <c r="G675" t="s">
        <v>5</v>
      </c>
      <c r="H675" t="s">
        <v>141</v>
      </c>
      <c r="I675" t="s">
        <v>3</v>
      </c>
      <c r="J675" t="s">
        <v>96</v>
      </c>
      <c r="K675">
        <v>1</v>
      </c>
      <c r="L675" t="s">
        <v>895</v>
      </c>
      <c r="M675">
        <v>0.41</v>
      </c>
      <c r="N675" t="s">
        <v>896</v>
      </c>
      <c r="O675" t="s">
        <v>895</v>
      </c>
      <c r="P675">
        <v>72640</v>
      </c>
      <c r="Q675">
        <v>15.48</v>
      </c>
      <c r="R675">
        <v>0.39</v>
      </c>
      <c r="S675" t="b">
        <v>1</v>
      </c>
      <c r="T675">
        <v>3</v>
      </c>
      <c r="U675">
        <v>16</v>
      </c>
      <c r="V675" t="s">
        <v>0</v>
      </c>
    </row>
    <row r="676" spans="1:22" x14ac:dyDescent="0.25">
      <c r="A676" t="s">
        <v>894</v>
      </c>
      <c r="B676">
        <v>2020</v>
      </c>
      <c r="C676" t="s">
        <v>44</v>
      </c>
      <c r="D676" t="s">
        <v>43</v>
      </c>
      <c r="E676" t="s">
        <v>50</v>
      </c>
      <c r="F676" t="s">
        <v>55</v>
      </c>
      <c r="G676" t="s">
        <v>62</v>
      </c>
      <c r="H676" t="s">
        <v>34</v>
      </c>
      <c r="I676" t="s">
        <v>90</v>
      </c>
      <c r="J676" t="s">
        <v>23</v>
      </c>
      <c r="K676">
        <v>0</v>
      </c>
      <c r="M676">
        <v>0.1</v>
      </c>
      <c r="N676" t="s">
        <v>893</v>
      </c>
      <c r="P676">
        <v>72627</v>
      </c>
      <c r="Q676">
        <v>4.45</v>
      </c>
      <c r="R676">
        <v>0.61</v>
      </c>
      <c r="S676" t="b">
        <v>0</v>
      </c>
      <c r="T676">
        <v>1</v>
      </c>
      <c r="U676">
        <v>2</v>
      </c>
      <c r="V676" t="s">
        <v>0</v>
      </c>
    </row>
    <row r="677" spans="1:22" x14ac:dyDescent="0.25">
      <c r="A677" t="s">
        <v>892</v>
      </c>
      <c r="B677">
        <v>2020</v>
      </c>
      <c r="C677" t="s">
        <v>348</v>
      </c>
      <c r="D677" t="s">
        <v>64</v>
      </c>
      <c r="E677" t="s">
        <v>219</v>
      </c>
      <c r="F677" t="s">
        <v>41</v>
      </c>
      <c r="G677" t="s">
        <v>25</v>
      </c>
      <c r="H677" t="s">
        <v>85</v>
      </c>
      <c r="I677" t="s">
        <v>68</v>
      </c>
      <c r="J677" t="s">
        <v>13</v>
      </c>
      <c r="K677">
        <v>0</v>
      </c>
      <c r="M677">
        <v>0.19</v>
      </c>
      <c r="N677" t="s">
        <v>891</v>
      </c>
      <c r="P677">
        <v>103088</v>
      </c>
      <c r="Q677">
        <v>3.67</v>
      </c>
      <c r="R677">
        <v>0.76</v>
      </c>
      <c r="S677" t="b">
        <v>0</v>
      </c>
      <c r="T677">
        <v>3</v>
      </c>
      <c r="U677">
        <v>7</v>
      </c>
      <c r="V677" t="s">
        <v>0</v>
      </c>
    </row>
    <row r="678" spans="1:22" x14ac:dyDescent="0.25">
      <c r="A678" t="s">
        <v>890</v>
      </c>
      <c r="B678">
        <v>2020</v>
      </c>
      <c r="C678" t="s">
        <v>58</v>
      </c>
      <c r="D678" t="s">
        <v>57</v>
      </c>
      <c r="E678" t="s">
        <v>56</v>
      </c>
      <c r="F678" t="s">
        <v>136</v>
      </c>
      <c r="G678" t="s">
        <v>62</v>
      </c>
      <c r="H678" t="s">
        <v>179</v>
      </c>
      <c r="I678" t="s">
        <v>3</v>
      </c>
      <c r="J678" t="s">
        <v>79</v>
      </c>
      <c r="K678">
        <v>1</v>
      </c>
      <c r="L678" t="s">
        <v>47</v>
      </c>
      <c r="M678">
        <v>0.49</v>
      </c>
      <c r="N678" t="s">
        <v>889</v>
      </c>
      <c r="O678" t="s">
        <v>47</v>
      </c>
      <c r="P678">
        <v>126617</v>
      </c>
      <c r="Q678">
        <v>5.25</v>
      </c>
      <c r="R678">
        <v>0.19</v>
      </c>
      <c r="S678" t="b">
        <v>1</v>
      </c>
      <c r="T678">
        <v>1</v>
      </c>
      <c r="U678">
        <v>0</v>
      </c>
      <c r="V678" t="s">
        <v>0</v>
      </c>
    </row>
    <row r="679" spans="1:22" x14ac:dyDescent="0.25">
      <c r="A679" t="s">
        <v>888</v>
      </c>
      <c r="B679">
        <v>2021</v>
      </c>
      <c r="C679" t="s">
        <v>304</v>
      </c>
      <c r="D679" t="s">
        <v>131</v>
      </c>
      <c r="E679" t="s">
        <v>42</v>
      </c>
      <c r="F679" t="s">
        <v>63</v>
      </c>
      <c r="G679" t="s">
        <v>25</v>
      </c>
      <c r="H679" t="s">
        <v>61</v>
      </c>
      <c r="I679" t="s">
        <v>68</v>
      </c>
      <c r="J679" t="s">
        <v>96</v>
      </c>
      <c r="K679">
        <v>1</v>
      </c>
      <c r="L679" t="s">
        <v>886</v>
      </c>
      <c r="M679">
        <v>0.47</v>
      </c>
      <c r="N679" t="s">
        <v>887</v>
      </c>
      <c r="O679" t="s">
        <v>886</v>
      </c>
      <c r="P679">
        <v>50708</v>
      </c>
      <c r="Q679">
        <v>6.55</v>
      </c>
      <c r="R679">
        <v>0.26</v>
      </c>
      <c r="S679" t="b">
        <v>1</v>
      </c>
      <c r="T679">
        <v>1</v>
      </c>
      <c r="U679">
        <v>11</v>
      </c>
      <c r="V679" t="s">
        <v>0</v>
      </c>
    </row>
    <row r="680" spans="1:22" x14ac:dyDescent="0.25">
      <c r="A680" t="s">
        <v>885</v>
      </c>
      <c r="B680">
        <v>2021</v>
      </c>
      <c r="C680" t="s">
        <v>333</v>
      </c>
      <c r="D680" t="s">
        <v>28</v>
      </c>
      <c r="E680" t="s">
        <v>17</v>
      </c>
      <c r="F680" t="s">
        <v>35</v>
      </c>
      <c r="G680" t="s">
        <v>5</v>
      </c>
      <c r="H680" t="s">
        <v>102</v>
      </c>
      <c r="I680" t="s">
        <v>74</v>
      </c>
      <c r="J680" t="s">
        <v>23</v>
      </c>
      <c r="K680">
        <v>1</v>
      </c>
      <c r="L680" t="s">
        <v>47</v>
      </c>
      <c r="M680">
        <v>0.45</v>
      </c>
      <c r="N680" t="s">
        <v>884</v>
      </c>
      <c r="O680" t="s">
        <v>47</v>
      </c>
      <c r="P680">
        <v>59541</v>
      </c>
      <c r="Q680">
        <v>13.31</v>
      </c>
      <c r="R680">
        <v>0.39</v>
      </c>
      <c r="S680" t="b">
        <v>1</v>
      </c>
      <c r="T680">
        <v>1</v>
      </c>
      <c r="U680">
        <v>7</v>
      </c>
      <c r="V680" t="s">
        <v>0</v>
      </c>
    </row>
    <row r="681" spans="1:22" x14ac:dyDescent="0.25">
      <c r="A681" t="s">
        <v>883</v>
      </c>
      <c r="B681">
        <v>2021</v>
      </c>
      <c r="C681" t="s">
        <v>98</v>
      </c>
      <c r="D681" t="s">
        <v>43</v>
      </c>
      <c r="E681" t="s">
        <v>56</v>
      </c>
      <c r="F681" t="s">
        <v>35</v>
      </c>
      <c r="G681" t="s">
        <v>5</v>
      </c>
      <c r="H681" t="s">
        <v>85</v>
      </c>
      <c r="I681" t="s">
        <v>107</v>
      </c>
      <c r="J681" t="s">
        <v>13</v>
      </c>
      <c r="K681">
        <v>1</v>
      </c>
      <c r="L681" t="s">
        <v>881</v>
      </c>
      <c r="M681">
        <v>0.76</v>
      </c>
      <c r="N681" t="s">
        <v>882</v>
      </c>
      <c r="O681" t="s">
        <v>881</v>
      </c>
      <c r="P681">
        <v>97171</v>
      </c>
      <c r="Q681">
        <v>6.23</v>
      </c>
      <c r="R681">
        <v>0.3</v>
      </c>
      <c r="S681" t="b">
        <v>1</v>
      </c>
      <c r="T681">
        <v>3</v>
      </c>
      <c r="U681">
        <v>2</v>
      </c>
      <c r="V681" t="s">
        <v>0</v>
      </c>
    </row>
    <row r="682" spans="1:22" x14ac:dyDescent="0.25">
      <c r="A682" t="s">
        <v>880</v>
      </c>
      <c r="B682">
        <v>2021</v>
      </c>
      <c r="C682" t="s">
        <v>164</v>
      </c>
      <c r="D682" t="s">
        <v>8</v>
      </c>
      <c r="E682" t="s">
        <v>42</v>
      </c>
      <c r="F682" t="s">
        <v>156</v>
      </c>
      <c r="G682" t="s">
        <v>25</v>
      </c>
      <c r="H682" t="s">
        <v>15</v>
      </c>
      <c r="I682" t="s">
        <v>74</v>
      </c>
      <c r="J682" t="s">
        <v>73</v>
      </c>
      <c r="K682">
        <v>1</v>
      </c>
      <c r="L682" t="s">
        <v>346</v>
      </c>
      <c r="M682">
        <v>0.56999999999999995</v>
      </c>
      <c r="N682" t="s">
        <v>879</v>
      </c>
      <c r="O682" t="s">
        <v>346</v>
      </c>
      <c r="P682">
        <v>42821</v>
      </c>
      <c r="Q682">
        <v>14.35</v>
      </c>
      <c r="R682">
        <v>0.26</v>
      </c>
      <c r="S682" t="b">
        <v>1</v>
      </c>
      <c r="T682">
        <v>1</v>
      </c>
      <c r="U682">
        <v>17</v>
      </c>
      <c r="V682" t="s">
        <v>0</v>
      </c>
    </row>
    <row r="683" spans="1:22" x14ac:dyDescent="0.25">
      <c r="A683" t="s">
        <v>878</v>
      </c>
      <c r="B683">
        <v>2021</v>
      </c>
      <c r="C683" t="s">
        <v>164</v>
      </c>
      <c r="D683" t="s">
        <v>8</v>
      </c>
      <c r="E683" t="s">
        <v>56</v>
      </c>
      <c r="F683" t="s">
        <v>35</v>
      </c>
      <c r="G683" t="s">
        <v>25</v>
      </c>
      <c r="H683" t="s">
        <v>85</v>
      </c>
      <c r="I683" t="s">
        <v>40</v>
      </c>
      <c r="J683" t="s">
        <v>73</v>
      </c>
      <c r="K683">
        <v>0</v>
      </c>
      <c r="M683">
        <v>0.19</v>
      </c>
      <c r="N683" t="s">
        <v>877</v>
      </c>
      <c r="P683">
        <v>24836</v>
      </c>
      <c r="Q683">
        <v>-2.02</v>
      </c>
      <c r="R683">
        <v>0.88</v>
      </c>
      <c r="S683" t="b">
        <v>0</v>
      </c>
      <c r="T683">
        <v>3</v>
      </c>
      <c r="U683">
        <v>17</v>
      </c>
      <c r="V683" t="s">
        <v>0</v>
      </c>
    </row>
    <row r="684" spans="1:22" x14ac:dyDescent="0.25">
      <c r="A684" t="s">
        <v>876</v>
      </c>
      <c r="B684">
        <v>2021</v>
      </c>
      <c r="C684" t="s">
        <v>70</v>
      </c>
      <c r="D684" t="s">
        <v>18</v>
      </c>
      <c r="E684" t="s">
        <v>121</v>
      </c>
      <c r="F684" t="s">
        <v>124</v>
      </c>
      <c r="G684" t="s">
        <v>62</v>
      </c>
      <c r="H684" t="s">
        <v>4</v>
      </c>
      <c r="I684" t="s">
        <v>74</v>
      </c>
      <c r="J684" t="s">
        <v>13</v>
      </c>
      <c r="K684">
        <v>1</v>
      </c>
      <c r="L684" t="s">
        <v>154</v>
      </c>
      <c r="M684">
        <v>0.91</v>
      </c>
      <c r="N684" t="s">
        <v>875</v>
      </c>
      <c r="O684" t="s">
        <v>154</v>
      </c>
      <c r="P684">
        <v>107201</v>
      </c>
      <c r="Q684">
        <v>14.72</v>
      </c>
      <c r="R684">
        <v>0.16</v>
      </c>
      <c r="S684" t="b">
        <v>1</v>
      </c>
      <c r="T684">
        <v>1</v>
      </c>
      <c r="U684">
        <v>1</v>
      </c>
      <c r="V684" t="s">
        <v>0</v>
      </c>
    </row>
    <row r="685" spans="1:22" x14ac:dyDescent="0.25">
      <c r="A685" t="s">
        <v>874</v>
      </c>
      <c r="B685">
        <v>2021</v>
      </c>
      <c r="C685" t="s">
        <v>51</v>
      </c>
      <c r="D685" t="s">
        <v>18</v>
      </c>
      <c r="E685" t="s">
        <v>147</v>
      </c>
      <c r="F685" t="s">
        <v>6</v>
      </c>
      <c r="G685" t="s">
        <v>5</v>
      </c>
      <c r="H685" t="s">
        <v>179</v>
      </c>
      <c r="I685" t="s">
        <v>33</v>
      </c>
      <c r="J685" t="s">
        <v>2</v>
      </c>
      <c r="K685">
        <v>0</v>
      </c>
      <c r="M685">
        <v>0.16</v>
      </c>
      <c r="N685" t="s">
        <v>873</v>
      </c>
      <c r="P685">
        <v>77670</v>
      </c>
      <c r="Q685">
        <v>-2.0299999999999998</v>
      </c>
      <c r="R685">
        <v>0.78</v>
      </c>
      <c r="S685" t="b">
        <v>0</v>
      </c>
      <c r="T685">
        <v>3</v>
      </c>
      <c r="U685">
        <v>12</v>
      </c>
      <c r="V685" t="s">
        <v>0</v>
      </c>
    </row>
    <row r="686" spans="1:22" x14ac:dyDescent="0.25">
      <c r="A686" t="s">
        <v>872</v>
      </c>
      <c r="B686">
        <v>2021</v>
      </c>
      <c r="C686" t="s">
        <v>348</v>
      </c>
      <c r="D686" t="s">
        <v>64</v>
      </c>
      <c r="E686" t="s">
        <v>121</v>
      </c>
      <c r="F686" t="s">
        <v>55</v>
      </c>
      <c r="G686" t="s">
        <v>62</v>
      </c>
      <c r="H686" t="s">
        <v>141</v>
      </c>
      <c r="I686" t="s">
        <v>97</v>
      </c>
      <c r="J686" t="s">
        <v>13</v>
      </c>
      <c r="K686">
        <v>0</v>
      </c>
      <c r="M686">
        <v>0.03</v>
      </c>
      <c r="N686" t="s">
        <v>871</v>
      </c>
      <c r="P686">
        <v>106478</v>
      </c>
      <c r="Q686">
        <v>-2.0699999999999998</v>
      </c>
      <c r="R686">
        <v>0.77</v>
      </c>
      <c r="S686" t="b">
        <v>0</v>
      </c>
      <c r="T686">
        <v>2</v>
      </c>
      <c r="U686">
        <v>7</v>
      </c>
      <c r="V686" t="s">
        <v>0</v>
      </c>
    </row>
    <row r="687" spans="1:22" x14ac:dyDescent="0.25">
      <c r="A687" t="s">
        <v>870</v>
      </c>
      <c r="B687">
        <v>2021</v>
      </c>
      <c r="C687" t="s">
        <v>333</v>
      </c>
      <c r="D687" t="s">
        <v>28</v>
      </c>
      <c r="E687" t="s">
        <v>147</v>
      </c>
      <c r="F687" t="s">
        <v>55</v>
      </c>
      <c r="G687" t="s">
        <v>135</v>
      </c>
      <c r="H687" t="s">
        <v>85</v>
      </c>
      <c r="I687" t="s">
        <v>40</v>
      </c>
      <c r="J687" t="s">
        <v>73</v>
      </c>
      <c r="K687">
        <v>0</v>
      </c>
      <c r="M687">
        <v>0.16</v>
      </c>
      <c r="N687" t="s">
        <v>869</v>
      </c>
      <c r="P687">
        <v>51779</v>
      </c>
      <c r="Q687">
        <v>1.42</v>
      </c>
      <c r="R687">
        <v>0.8</v>
      </c>
      <c r="S687" t="b">
        <v>0</v>
      </c>
      <c r="T687">
        <v>1</v>
      </c>
      <c r="U687">
        <v>2</v>
      </c>
      <c r="V687" t="s">
        <v>0</v>
      </c>
    </row>
    <row r="688" spans="1:22" x14ac:dyDescent="0.25">
      <c r="A688" t="s">
        <v>868</v>
      </c>
      <c r="B688">
        <v>2021</v>
      </c>
      <c r="C688" t="s">
        <v>245</v>
      </c>
      <c r="D688" t="s">
        <v>125</v>
      </c>
      <c r="E688" t="s">
        <v>17</v>
      </c>
      <c r="F688" t="s">
        <v>6</v>
      </c>
      <c r="G688" t="s">
        <v>135</v>
      </c>
      <c r="H688" t="s">
        <v>15</v>
      </c>
      <c r="I688" t="s">
        <v>24</v>
      </c>
      <c r="J688" t="s">
        <v>73</v>
      </c>
      <c r="K688">
        <v>0</v>
      </c>
      <c r="M688">
        <v>0.11</v>
      </c>
      <c r="N688" t="s">
        <v>867</v>
      </c>
      <c r="P688">
        <v>26065</v>
      </c>
      <c r="Q688">
        <v>-3.49</v>
      </c>
      <c r="R688">
        <v>0.88</v>
      </c>
      <c r="S688" t="b">
        <v>0</v>
      </c>
      <c r="T688">
        <v>1</v>
      </c>
      <c r="U688">
        <v>16</v>
      </c>
      <c r="V688" t="s">
        <v>0</v>
      </c>
    </row>
    <row r="689" spans="1:22" x14ac:dyDescent="0.25">
      <c r="A689" t="s">
        <v>866</v>
      </c>
      <c r="B689">
        <v>2021</v>
      </c>
      <c r="C689" t="s">
        <v>19</v>
      </c>
      <c r="D689" t="s">
        <v>18</v>
      </c>
      <c r="E689" t="s">
        <v>50</v>
      </c>
      <c r="F689" t="s">
        <v>69</v>
      </c>
      <c r="G689" t="s">
        <v>62</v>
      </c>
      <c r="H689" t="s">
        <v>4</v>
      </c>
      <c r="I689" t="s">
        <v>74</v>
      </c>
      <c r="J689" t="s">
        <v>23</v>
      </c>
      <c r="K689">
        <v>0</v>
      </c>
      <c r="M689">
        <v>0.09</v>
      </c>
      <c r="N689" t="s">
        <v>865</v>
      </c>
      <c r="P689">
        <v>70050</v>
      </c>
      <c r="Q689">
        <v>-1.95</v>
      </c>
      <c r="R689">
        <v>0.77</v>
      </c>
      <c r="S689" t="b">
        <v>0</v>
      </c>
      <c r="T689">
        <v>3</v>
      </c>
      <c r="U689">
        <v>0</v>
      </c>
      <c r="V689" t="s">
        <v>0</v>
      </c>
    </row>
    <row r="690" spans="1:22" x14ac:dyDescent="0.25">
      <c r="A690" t="s">
        <v>864</v>
      </c>
      <c r="B690">
        <v>2021</v>
      </c>
      <c r="C690" t="s">
        <v>348</v>
      </c>
      <c r="D690" t="s">
        <v>64</v>
      </c>
      <c r="E690" t="s">
        <v>219</v>
      </c>
      <c r="F690" t="s">
        <v>6</v>
      </c>
      <c r="G690" t="s">
        <v>62</v>
      </c>
      <c r="H690" t="s">
        <v>34</v>
      </c>
      <c r="I690" t="s">
        <v>107</v>
      </c>
      <c r="J690" t="s">
        <v>79</v>
      </c>
      <c r="K690">
        <v>0</v>
      </c>
      <c r="M690">
        <v>0.13</v>
      </c>
      <c r="N690" t="s">
        <v>863</v>
      </c>
      <c r="P690">
        <v>94188</v>
      </c>
      <c r="Q690">
        <v>-1.1299999999999999</v>
      </c>
      <c r="R690">
        <v>0.76</v>
      </c>
      <c r="S690" t="b">
        <v>0</v>
      </c>
      <c r="T690">
        <v>1</v>
      </c>
      <c r="U690">
        <v>1</v>
      </c>
      <c r="V690" t="s">
        <v>0</v>
      </c>
    </row>
    <row r="691" spans="1:22" x14ac:dyDescent="0.25">
      <c r="A691" t="s">
        <v>862</v>
      </c>
      <c r="B691">
        <v>2021</v>
      </c>
      <c r="C691" t="s">
        <v>378</v>
      </c>
      <c r="D691" t="s">
        <v>43</v>
      </c>
      <c r="E691" t="s">
        <v>121</v>
      </c>
      <c r="F691" t="s">
        <v>69</v>
      </c>
      <c r="G691" t="s">
        <v>16</v>
      </c>
      <c r="H691" t="s">
        <v>102</v>
      </c>
      <c r="I691" t="s">
        <v>40</v>
      </c>
      <c r="J691" t="s">
        <v>2</v>
      </c>
      <c r="K691">
        <v>0</v>
      </c>
      <c r="M691">
        <v>0.06</v>
      </c>
      <c r="N691" t="s">
        <v>861</v>
      </c>
      <c r="P691">
        <v>89316</v>
      </c>
      <c r="Q691">
        <v>3.2</v>
      </c>
      <c r="R691">
        <v>0.83</v>
      </c>
      <c r="S691" t="b">
        <v>0</v>
      </c>
      <c r="T691">
        <v>3</v>
      </c>
      <c r="U691">
        <v>6</v>
      </c>
      <c r="V691" t="s">
        <v>0</v>
      </c>
    </row>
    <row r="692" spans="1:22" x14ac:dyDescent="0.25">
      <c r="A692" t="s">
        <v>860</v>
      </c>
      <c r="B692">
        <v>2021</v>
      </c>
      <c r="C692" t="s">
        <v>215</v>
      </c>
      <c r="D692" t="s">
        <v>91</v>
      </c>
      <c r="E692" t="s">
        <v>121</v>
      </c>
      <c r="F692" t="s">
        <v>75</v>
      </c>
      <c r="G692" t="s">
        <v>25</v>
      </c>
      <c r="H692" t="s">
        <v>49</v>
      </c>
      <c r="I692" t="s">
        <v>3</v>
      </c>
      <c r="J692" t="s">
        <v>13</v>
      </c>
      <c r="K692">
        <v>1</v>
      </c>
      <c r="L692" t="s">
        <v>858</v>
      </c>
      <c r="M692">
        <v>0.6</v>
      </c>
      <c r="N692" t="s">
        <v>859</v>
      </c>
      <c r="O692" t="s">
        <v>858</v>
      </c>
      <c r="P692">
        <v>94465</v>
      </c>
      <c r="Q692">
        <v>5.69</v>
      </c>
      <c r="R692">
        <v>0.31</v>
      </c>
      <c r="S692" t="b">
        <v>1</v>
      </c>
      <c r="T692">
        <v>2</v>
      </c>
      <c r="U692">
        <v>12</v>
      </c>
      <c r="V692" t="s">
        <v>0</v>
      </c>
    </row>
    <row r="693" spans="1:22" x14ac:dyDescent="0.25">
      <c r="A693" t="s">
        <v>857</v>
      </c>
      <c r="B693">
        <v>2021</v>
      </c>
      <c r="C693" t="s">
        <v>126</v>
      </c>
      <c r="D693" t="s">
        <v>125</v>
      </c>
      <c r="E693" t="s">
        <v>121</v>
      </c>
      <c r="F693" t="s">
        <v>26</v>
      </c>
      <c r="G693" t="s">
        <v>135</v>
      </c>
      <c r="H693" t="s">
        <v>85</v>
      </c>
      <c r="I693" t="s">
        <v>40</v>
      </c>
      <c r="J693" t="s">
        <v>2</v>
      </c>
      <c r="K693">
        <v>0</v>
      </c>
      <c r="M693">
        <v>0.02</v>
      </c>
      <c r="N693" t="s">
        <v>856</v>
      </c>
      <c r="P693">
        <v>23794</v>
      </c>
      <c r="Q693">
        <v>-1.95</v>
      </c>
      <c r="R693">
        <v>0.81</v>
      </c>
      <c r="S693" t="b">
        <v>0</v>
      </c>
      <c r="T693">
        <v>3</v>
      </c>
      <c r="U693">
        <v>2</v>
      </c>
      <c r="V693" t="s">
        <v>0</v>
      </c>
    </row>
    <row r="694" spans="1:22" x14ac:dyDescent="0.25">
      <c r="A694" t="s">
        <v>855</v>
      </c>
      <c r="B694">
        <v>2021</v>
      </c>
      <c r="C694" t="s">
        <v>183</v>
      </c>
      <c r="D694" t="s">
        <v>131</v>
      </c>
      <c r="E694" t="s">
        <v>147</v>
      </c>
      <c r="F694" t="s">
        <v>55</v>
      </c>
      <c r="G694" t="s">
        <v>16</v>
      </c>
      <c r="H694" t="s">
        <v>4</v>
      </c>
      <c r="I694" t="s">
        <v>97</v>
      </c>
      <c r="J694" t="s">
        <v>79</v>
      </c>
      <c r="K694">
        <v>0</v>
      </c>
      <c r="M694">
        <v>0.1</v>
      </c>
      <c r="N694" t="s">
        <v>854</v>
      </c>
      <c r="P694">
        <v>35173</v>
      </c>
      <c r="Q694">
        <v>-0.62</v>
      </c>
      <c r="R694">
        <v>0.8</v>
      </c>
      <c r="S694" t="b">
        <v>0</v>
      </c>
      <c r="T694">
        <v>1</v>
      </c>
      <c r="U694">
        <v>10</v>
      </c>
      <c r="V694" t="s">
        <v>0</v>
      </c>
    </row>
    <row r="695" spans="1:22" x14ac:dyDescent="0.25">
      <c r="A695" t="s">
        <v>853</v>
      </c>
      <c r="B695">
        <v>2021</v>
      </c>
      <c r="C695" t="s">
        <v>316</v>
      </c>
      <c r="D695" t="s">
        <v>43</v>
      </c>
      <c r="E695" t="s">
        <v>42</v>
      </c>
      <c r="F695" t="s">
        <v>124</v>
      </c>
      <c r="G695" t="s">
        <v>25</v>
      </c>
      <c r="H695" t="s">
        <v>4</v>
      </c>
      <c r="I695" t="s">
        <v>40</v>
      </c>
      <c r="J695" t="s">
        <v>79</v>
      </c>
      <c r="K695">
        <v>1</v>
      </c>
      <c r="L695" t="s">
        <v>851</v>
      </c>
      <c r="M695">
        <v>0.47</v>
      </c>
      <c r="N695" t="s">
        <v>852</v>
      </c>
      <c r="O695" t="s">
        <v>851</v>
      </c>
      <c r="P695">
        <v>118877</v>
      </c>
      <c r="Q695">
        <v>7.48</v>
      </c>
      <c r="R695">
        <v>0.36</v>
      </c>
      <c r="S695" t="b">
        <v>1</v>
      </c>
      <c r="T695">
        <v>2</v>
      </c>
      <c r="U695">
        <v>6</v>
      </c>
      <c r="V695" t="s">
        <v>0</v>
      </c>
    </row>
    <row r="696" spans="1:22" x14ac:dyDescent="0.25">
      <c r="A696" t="s">
        <v>850</v>
      </c>
      <c r="B696">
        <v>2021</v>
      </c>
      <c r="C696" t="s">
        <v>316</v>
      </c>
      <c r="D696" t="s">
        <v>43</v>
      </c>
      <c r="E696" t="s">
        <v>56</v>
      </c>
      <c r="F696" t="s">
        <v>63</v>
      </c>
      <c r="G696" t="s">
        <v>62</v>
      </c>
      <c r="H696" t="s">
        <v>85</v>
      </c>
      <c r="I696" t="s">
        <v>40</v>
      </c>
      <c r="J696" t="s">
        <v>13</v>
      </c>
      <c r="K696">
        <v>1</v>
      </c>
      <c r="L696" t="s">
        <v>848</v>
      </c>
      <c r="M696">
        <v>0.83</v>
      </c>
      <c r="N696" t="s">
        <v>849</v>
      </c>
      <c r="O696" t="s">
        <v>848</v>
      </c>
      <c r="P696">
        <v>109097</v>
      </c>
      <c r="Q696">
        <v>17.18</v>
      </c>
      <c r="R696">
        <v>0.19</v>
      </c>
      <c r="S696" t="b">
        <v>1</v>
      </c>
      <c r="T696">
        <v>1</v>
      </c>
      <c r="U696">
        <v>13</v>
      </c>
      <c r="V696" t="s">
        <v>0</v>
      </c>
    </row>
    <row r="697" spans="1:22" x14ac:dyDescent="0.25">
      <c r="A697" t="s">
        <v>847</v>
      </c>
      <c r="B697">
        <v>2021</v>
      </c>
      <c r="C697" t="s">
        <v>9</v>
      </c>
      <c r="D697" t="s">
        <v>8</v>
      </c>
      <c r="E697" t="s">
        <v>130</v>
      </c>
      <c r="F697" t="s">
        <v>156</v>
      </c>
      <c r="G697" t="s">
        <v>135</v>
      </c>
      <c r="H697" t="s">
        <v>61</v>
      </c>
      <c r="I697" t="s">
        <v>68</v>
      </c>
      <c r="J697" t="s">
        <v>96</v>
      </c>
      <c r="K697">
        <v>0</v>
      </c>
      <c r="M697">
        <v>0.16</v>
      </c>
      <c r="N697" t="s">
        <v>846</v>
      </c>
      <c r="P697">
        <v>30460</v>
      </c>
      <c r="Q697">
        <v>-3.75</v>
      </c>
      <c r="R697">
        <v>0.71</v>
      </c>
      <c r="S697" t="b">
        <v>0</v>
      </c>
      <c r="T697">
        <v>1</v>
      </c>
      <c r="U697">
        <v>19</v>
      </c>
      <c r="V697" t="s">
        <v>0</v>
      </c>
    </row>
    <row r="698" spans="1:22" x14ac:dyDescent="0.25">
      <c r="A698" t="s">
        <v>845</v>
      </c>
      <c r="B698">
        <v>2021</v>
      </c>
      <c r="C698" t="s">
        <v>65</v>
      </c>
      <c r="D698" t="s">
        <v>64</v>
      </c>
      <c r="E698" t="s">
        <v>182</v>
      </c>
      <c r="F698" t="s">
        <v>136</v>
      </c>
      <c r="G698" t="s">
        <v>135</v>
      </c>
      <c r="H698" t="s">
        <v>34</v>
      </c>
      <c r="I698" t="s">
        <v>90</v>
      </c>
      <c r="J698" t="s">
        <v>23</v>
      </c>
      <c r="K698">
        <v>0</v>
      </c>
      <c r="M698">
        <v>0.04</v>
      </c>
      <c r="N698" t="s">
        <v>844</v>
      </c>
      <c r="P698">
        <v>81045</v>
      </c>
      <c r="Q698">
        <v>-3.11</v>
      </c>
      <c r="R698">
        <v>0.74</v>
      </c>
      <c r="S698" t="b">
        <v>0</v>
      </c>
      <c r="T698">
        <v>1</v>
      </c>
      <c r="U698">
        <v>14</v>
      </c>
      <c r="V698" t="s">
        <v>0</v>
      </c>
    </row>
    <row r="699" spans="1:22" x14ac:dyDescent="0.25">
      <c r="A699" t="s">
        <v>843</v>
      </c>
      <c r="B699">
        <v>2021</v>
      </c>
      <c r="C699" t="s">
        <v>171</v>
      </c>
      <c r="D699" t="s">
        <v>57</v>
      </c>
      <c r="E699" t="s">
        <v>219</v>
      </c>
      <c r="F699" t="s">
        <v>136</v>
      </c>
      <c r="G699" t="s">
        <v>25</v>
      </c>
      <c r="H699" t="s">
        <v>15</v>
      </c>
      <c r="I699" t="s">
        <v>90</v>
      </c>
      <c r="J699" t="s">
        <v>79</v>
      </c>
      <c r="K699">
        <v>0</v>
      </c>
      <c r="M699">
        <v>0.06</v>
      </c>
      <c r="N699" t="s">
        <v>842</v>
      </c>
      <c r="P699">
        <v>83179</v>
      </c>
      <c r="Q699">
        <v>1.95</v>
      </c>
      <c r="R699">
        <v>0.81</v>
      </c>
      <c r="S699" t="b">
        <v>0</v>
      </c>
      <c r="T699">
        <v>2</v>
      </c>
      <c r="U699">
        <v>7</v>
      </c>
      <c r="V699" t="s">
        <v>0</v>
      </c>
    </row>
    <row r="700" spans="1:22" x14ac:dyDescent="0.25">
      <c r="A700" t="s">
        <v>841</v>
      </c>
      <c r="B700">
        <v>2021</v>
      </c>
      <c r="C700" t="s">
        <v>148</v>
      </c>
      <c r="D700" t="s">
        <v>28</v>
      </c>
      <c r="E700" t="s">
        <v>121</v>
      </c>
      <c r="F700" t="s">
        <v>156</v>
      </c>
      <c r="G700" t="s">
        <v>62</v>
      </c>
      <c r="H700" t="s">
        <v>4</v>
      </c>
      <c r="I700" t="s">
        <v>33</v>
      </c>
      <c r="J700" t="s">
        <v>13</v>
      </c>
      <c r="K700">
        <v>0</v>
      </c>
      <c r="M700">
        <v>0.19</v>
      </c>
      <c r="N700" t="s">
        <v>840</v>
      </c>
      <c r="P700">
        <v>45125</v>
      </c>
      <c r="Q700">
        <v>-1.92</v>
      </c>
      <c r="R700">
        <v>0.9</v>
      </c>
      <c r="S700" t="b">
        <v>0</v>
      </c>
      <c r="T700">
        <v>1</v>
      </c>
      <c r="U700">
        <v>11</v>
      </c>
      <c r="V700" t="s">
        <v>0</v>
      </c>
    </row>
    <row r="701" spans="1:22" x14ac:dyDescent="0.25">
      <c r="A701" t="s">
        <v>839</v>
      </c>
      <c r="B701">
        <v>2021</v>
      </c>
      <c r="C701" t="s">
        <v>29</v>
      </c>
      <c r="D701" t="s">
        <v>28</v>
      </c>
      <c r="E701" t="s">
        <v>130</v>
      </c>
      <c r="F701" t="s">
        <v>55</v>
      </c>
      <c r="G701" t="s">
        <v>16</v>
      </c>
      <c r="H701" t="s">
        <v>179</v>
      </c>
      <c r="I701" t="s">
        <v>3</v>
      </c>
      <c r="J701" t="s">
        <v>13</v>
      </c>
      <c r="K701">
        <v>1</v>
      </c>
      <c r="L701" t="s">
        <v>133</v>
      </c>
      <c r="M701">
        <v>0.52</v>
      </c>
      <c r="N701" t="s">
        <v>178</v>
      </c>
      <c r="O701" t="s">
        <v>133</v>
      </c>
      <c r="P701">
        <v>55609</v>
      </c>
      <c r="Q701">
        <v>16.829999999999998</v>
      </c>
      <c r="R701">
        <v>0.16</v>
      </c>
      <c r="S701" t="b">
        <v>1</v>
      </c>
      <c r="T701">
        <v>1</v>
      </c>
      <c r="U701">
        <v>10</v>
      </c>
      <c r="V701" t="s">
        <v>0</v>
      </c>
    </row>
    <row r="702" spans="1:22" x14ac:dyDescent="0.25">
      <c r="A702" t="s">
        <v>838</v>
      </c>
      <c r="B702">
        <v>2021</v>
      </c>
      <c r="C702" t="s">
        <v>65</v>
      </c>
      <c r="D702" t="s">
        <v>64</v>
      </c>
      <c r="E702" t="s">
        <v>121</v>
      </c>
      <c r="F702" t="s">
        <v>35</v>
      </c>
      <c r="G702" t="s">
        <v>62</v>
      </c>
      <c r="H702" t="s">
        <v>34</v>
      </c>
      <c r="I702" t="s">
        <v>40</v>
      </c>
      <c r="J702" t="s">
        <v>96</v>
      </c>
      <c r="K702">
        <v>1</v>
      </c>
      <c r="L702" t="s">
        <v>836</v>
      </c>
      <c r="M702">
        <v>0.44</v>
      </c>
      <c r="N702" t="s">
        <v>837</v>
      </c>
      <c r="O702" t="s">
        <v>836</v>
      </c>
      <c r="P702">
        <v>147481</v>
      </c>
      <c r="Q702">
        <v>7.68</v>
      </c>
      <c r="R702">
        <v>0.31</v>
      </c>
      <c r="S702" t="b">
        <v>1</v>
      </c>
      <c r="T702">
        <v>1</v>
      </c>
      <c r="U702">
        <v>16</v>
      </c>
      <c r="V702" t="s">
        <v>0</v>
      </c>
    </row>
    <row r="703" spans="1:22" x14ac:dyDescent="0.25">
      <c r="A703" t="s">
        <v>835</v>
      </c>
      <c r="B703">
        <v>2021</v>
      </c>
      <c r="C703" t="s">
        <v>81</v>
      </c>
      <c r="D703" t="s">
        <v>28</v>
      </c>
      <c r="E703" t="s">
        <v>219</v>
      </c>
      <c r="F703" t="s">
        <v>55</v>
      </c>
      <c r="G703" t="s">
        <v>135</v>
      </c>
      <c r="H703" t="s">
        <v>49</v>
      </c>
      <c r="I703" t="s">
        <v>90</v>
      </c>
      <c r="J703" t="s">
        <v>23</v>
      </c>
      <c r="K703">
        <v>0</v>
      </c>
      <c r="M703">
        <v>0.11</v>
      </c>
      <c r="N703" t="s">
        <v>834</v>
      </c>
      <c r="P703">
        <v>43813</v>
      </c>
      <c r="Q703">
        <v>2.5099999999999998</v>
      </c>
      <c r="R703">
        <v>0.74</v>
      </c>
      <c r="S703" t="b">
        <v>0</v>
      </c>
      <c r="T703">
        <v>1</v>
      </c>
      <c r="U703">
        <v>9</v>
      </c>
      <c r="V703" t="s">
        <v>0</v>
      </c>
    </row>
    <row r="704" spans="1:22" x14ac:dyDescent="0.25">
      <c r="A704" t="s">
        <v>833</v>
      </c>
      <c r="B704">
        <v>2021</v>
      </c>
      <c r="C704" t="s">
        <v>236</v>
      </c>
      <c r="D704" t="s">
        <v>131</v>
      </c>
      <c r="E704" t="s">
        <v>36</v>
      </c>
      <c r="F704" t="s">
        <v>35</v>
      </c>
      <c r="G704" t="s">
        <v>62</v>
      </c>
      <c r="H704" t="s">
        <v>179</v>
      </c>
      <c r="I704" t="s">
        <v>68</v>
      </c>
      <c r="J704" t="s">
        <v>23</v>
      </c>
      <c r="K704">
        <v>0</v>
      </c>
      <c r="M704">
        <v>0.05</v>
      </c>
      <c r="N704" t="s">
        <v>832</v>
      </c>
      <c r="P704">
        <v>39253</v>
      </c>
      <c r="Q704">
        <v>-4.5199999999999996</v>
      </c>
      <c r="R704">
        <v>0.74</v>
      </c>
      <c r="S704" t="b">
        <v>0</v>
      </c>
      <c r="T704">
        <v>1</v>
      </c>
      <c r="U704">
        <v>10</v>
      </c>
      <c r="V704" t="s">
        <v>0</v>
      </c>
    </row>
    <row r="705" spans="1:22" x14ac:dyDescent="0.25">
      <c r="A705" t="s">
        <v>831</v>
      </c>
      <c r="B705">
        <v>2021</v>
      </c>
      <c r="C705" t="s">
        <v>304</v>
      </c>
      <c r="D705" t="s">
        <v>131</v>
      </c>
      <c r="E705" t="s">
        <v>50</v>
      </c>
      <c r="F705" t="s">
        <v>26</v>
      </c>
      <c r="G705" t="s">
        <v>135</v>
      </c>
      <c r="H705" t="s">
        <v>34</v>
      </c>
      <c r="I705" t="s">
        <v>97</v>
      </c>
      <c r="J705" t="s">
        <v>96</v>
      </c>
      <c r="K705">
        <v>1</v>
      </c>
      <c r="L705" t="s">
        <v>829</v>
      </c>
      <c r="M705">
        <v>0.89</v>
      </c>
      <c r="N705" t="s">
        <v>830</v>
      </c>
      <c r="O705" t="s">
        <v>829</v>
      </c>
      <c r="P705">
        <v>53649</v>
      </c>
      <c r="Q705">
        <v>5.27</v>
      </c>
      <c r="R705">
        <v>0.34</v>
      </c>
      <c r="S705" t="b">
        <v>1</v>
      </c>
      <c r="T705">
        <v>2</v>
      </c>
      <c r="U705">
        <v>13</v>
      </c>
      <c r="V705" t="s">
        <v>0</v>
      </c>
    </row>
    <row r="706" spans="1:22" x14ac:dyDescent="0.25">
      <c r="A706" t="s">
        <v>828</v>
      </c>
      <c r="B706">
        <v>2021</v>
      </c>
      <c r="C706" t="s">
        <v>164</v>
      </c>
      <c r="D706" t="s">
        <v>8</v>
      </c>
      <c r="E706" t="s">
        <v>116</v>
      </c>
      <c r="F706" t="s">
        <v>63</v>
      </c>
      <c r="G706" t="s">
        <v>25</v>
      </c>
      <c r="H706" t="s">
        <v>49</v>
      </c>
      <c r="I706" t="s">
        <v>90</v>
      </c>
      <c r="J706" t="s">
        <v>2</v>
      </c>
      <c r="K706">
        <v>1</v>
      </c>
      <c r="L706" t="s">
        <v>826</v>
      </c>
      <c r="M706">
        <v>0.85</v>
      </c>
      <c r="N706" t="s">
        <v>827</v>
      </c>
      <c r="O706" t="s">
        <v>826</v>
      </c>
      <c r="P706">
        <v>35792</v>
      </c>
      <c r="Q706">
        <v>8.9</v>
      </c>
      <c r="R706">
        <v>0.25</v>
      </c>
      <c r="S706" t="b">
        <v>1</v>
      </c>
      <c r="T706">
        <v>2</v>
      </c>
      <c r="U706">
        <v>10</v>
      </c>
      <c r="V706" t="s">
        <v>0</v>
      </c>
    </row>
    <row r="707" spans="1:22" x14ac:dyDescent="0.25">
      <c r="A707" t="s">
        <v>825</v>
      </c>
      <c r="B707">
        <v>2021</v>
      </c>
      <c r="C707" t="s">
        <v>86</v>
      </c>
      <c r="D707" t="s">
        <v>131</v>
      </c>
      <c r="E707" t="s">
        <v>17</v>
      </c>
      <c r="F707" t="s">
        <v>124</v>
      </c>
      <c r="G707" t="s">
        <v>25</v>
      </c>
      <c r="H707" t="s">
        <v>49</v>
      </c>
      <c r="I707" t="s">
        <v>14</v>
      </c>
      <c r="J707" t="s">
        <v>73</v>
      </c>
      <c r="K707">
        <v>0</v>
      </c>
      <c r="M707">
        <v>0.1</v>
      </c>
      <c r="N707" t="s">
        <v>824</v>
      </c>
      <c r="P707">
        <v>43838</v>
      </c>
      <c r="Q707">
        <v>-1.03</v>
      </c>
      <c r="R707">
        <v>0.65</v>
      </c>
      <c r="S707" t="b">
        <v>0</v>
      </c>
      <c r="T707">
        <v>2</v>
      </c>
      <c r="U707">
        <v>12</v>
      </c>
      <c r="V707" t="s">
        <v>0</v>
      </c>
    </row>
    <row r="708" spans="1:22" x14ac:dyDescent="0.25">
      <c r="A708" t="s">
        <v>823</v>
      </c>
      <c r="B708">
        <v>2021</v>
      </c>
      <c r="C708" t="s">
        <v>348</v>
      </c>
      <c r="D708" t="s">
        <v>64</v>
      </c>
      <c r="E708" t="s">
        <v>147</v>
      </c>
      <c r="F708" t="s">
        <v>124</v>
      </c>
      <c r="G708" t="s">
        <v>16</v>
      </c>
      <c r="H708" t="s">
        <v>141</v>
      </c>
      <c r="I708" t="s">
        <v>40</v>
      </c>
      <c r="J708" t="s">
        <v>79</v>
      </c>
      <c r="K708">
        <v>0</v>
      </c>
      <c r="M708">
        <v>0.01</v>
      </c>
      <c r="N708" t="s">
        <v>822</v>
      </c>
      <c r="P708">
        <v>91320</v>
      </c>
      <c r="Q708">
        <v>2.02</v>
      </c>
      <c r="R708">
        <v>0.62</v>
      </c>
      <c r="S708" t="b">
        <v>0</v>
      </c>
      <c r="T708">
        <v>1</v>
      </c>
      <c r="U708">
        <v>18</v>
      </c>
      <c r="V708" t="s">
        <v>0</v>
      </c>
    </row>
    <row r="709" spans="1:22" x14ac:dyDescent="0.25">
      <c r="A709" t="s">
        <v>821</v>
      </c>
      <c r="B709">
        <v>2021</v>
      </c>
      <c r="C709" t="s">
        <v>316</v>
      </c>
      <c r="D709" t="s">
        <v>43</v>
      </c>
      <c r="E709" t="s">
        <v>182</v>
      </c>
      <c r="F709" t="s">
        <v>103</v>
      </c>
      <c r="G709" t="s">
        <v>16</v>
      </c>
      <c r="H709" t="s">
        <v>102</v>
      </c>
      <c r="I709" t="s">
        <v>24</v>
      </c>
      <c r="J709" t="s">
        <v>96</v>
      </c>
      <c r="K709">
        <v>0</v>
      </c>
      <c r="M709">
        <v>0.06</v>
      </c>
      <c r="N709" t="s">
        <v>820</v>
      </c>
      <c r="P709">
        <v>80960</v>
      </c>
      <c r="Q709">
        <v>-2.3199999999999998</v>
      </c>
      <c r="R709">
        <v>0.84</v>
      </c>
      <c r="S709" t="b">
        <v>0</v>
      </c>
      <c r="T709">
        <v>3</v>
      </c>
      <c r="U709">
        <v>8</v>
      </c>
      <c r="V709" t="s">
        <v>0</v>
      </c>
    </row>
    <row r="710" spans="1:22" x14ac:dyDescent="0.25">
      <c r="A710" t="s">
        <v>819</v>
      </c>
      <c r="B710">
        <v>2021</v>
      </c>
      <c r="C710" t="s">
        <v>19</v>
      </c>
      <c r="D710" t="s">
        <v>18</v>
      </c>
      <c r="E710" t="s">
        <v>130</v>
      </c>
      <c r="F710" t="s">
        <v>124</v>
      </c>
      <c r="G710" t="s">
        <v>16</v>
      </c>
      <c r="H710" t="s">
        <v>61</v>
      </c>
      <c r="I710" t="s">
        <v>3</v>
      </c>
      <c r="J710" t="s">
        <v>79</v>
      </c>
      <c r="K710">
        <v>0</v>
      </c>
      <c r="M710">
        <v>0.14000000000000001</v>
      </c>
      <c r="N710" t="s">
        <v>818</v>
      </c>
      <c r="P710">
        <v>82129</v>
      </c>
      <c r="Q710">
        <v>-4.1100000000000003</v>
      </c>
      <c r="R710">
        <v>0.68</v>
      </c>
      <c r="S710" t="b">
        <v>0</v>
      </c>
      <c r="T710">
        <v>1</v>
      </c>
      <c r="U710">
        <v>12</v>
      </c>
      <c r="V710" t="s">
        <v>0</v>
      </c>
    </row>
    <row r="711" spans="1:22" x14ac:dyDescent="0.25">
      <c r="A711" s="1" t="s">
        <v>817</v>
      </c>
      <c r="B711">
        <v>2021</v>
      </c>
      <c r="C711" t="s">
        <v>233</v>
      </c>
      <c r="D711" t="s">
        <v>125</v>
      </c>
      <c r="E711" t="s">
        <v>130</v>
      </c>
      <c r="F711" t="s">
        <v>55</v>
      </c>
      <c r="G711" t="s">
        <v>16</v>
      </c>
      <c r="H711" t="s">
        <v>85</v>
      </c>
      <c r="I711" t="s">
        <v>97</v>
      </c>
      <c r="J711" t="s">
        <v>96</v>
      </c>
      <c r="K711">
        <v>0</v>
      </c>
      <c r="M711">
        <v>0.08</v>
      </c>
      <c r="N711" t="s">
        <v>816</v>
      </c>
      <c r="P711">
        <v>23049</v>
      </c>
      <c r="Q711">
        <v>-1.26</v>
      </c>
      <c r="R711">
        <v>0.69</v>
      </c>
      <c r="S711" t="b">
        <v>0</v>
      </c>
      <c r="T711">
        <v>1</v>
      </c>
      <c r="U711">
        <v>4</v>
      </c>
      <c r="V711" t="s">
        <v>0</v>
      </c>
    </row>
    <row r="712" spans="1:22" x14ac:dyDescent="0.25">
      <c r="A712" t="s">
        <v>815</v>
      </c>
      <c r="B712">
        <v>2021</v>
      </c>
      <c r="C712" t="s">
        <v>137</v>
      </c>
      <c r="D712" t="s">
        <v>43</v>
      </c>
      <c r="E712" t="s">
        <v>17</v>
      </c>
      <c r="F712" t="s">
        <v>63</v>
      </c>
      <c r="G712" t="s">
        <v>25</v>
      </c>
      <c r="H712" t="s">
        <v>179</v>
      </c>
      <c r="I712" t="s">
        <v>97</v>
      </c>
      <c r="J712" t="s">
        <v>79</v>
      </c>
      <c r="K712">
        <v>1</v>
      </c>
      <c r="L712" t="s">
        <v>599</v>
      </c>
      <c r="M712">
        <v>0.45</v>
      </c>
      <c r="N712" t="s">
        <v>814</v>
      </c>
      <c r="O712" t="s">
        <v>599</v>
      </c>
      <c r="P712">
        <v>128354</v>
      </c>
      <c r="Q712">
        <v>6.07</v>
      </c>
      <c r="R712">
        <v>0.11</v>
      </c>
      <c r="S712" t="b">
        <v>1</v>
      </c>
      <c r="T712">
        <v>3</v>
      </c>
      <c r="U712">
        <v>9</v>
      </c>
      <c r="V712" t="s">
        <v>0</v>
      </c>
    </row>
    <row r="713" spans="1:22" x14ac:dyDescent="0.25">
      <c r="A713" t="s">
        <v>813</v>
      </c>
      <c r="B713">
        <v>2021</v>
      </c>
      <c r="C713" t="s">
        <v>161</v>
      </c>
      <c r="D713" t="s">
        <v>8</v>
      </c>
      <c r="E713" t="s">
        <v>147</v>
      </c>
      <c r="F713" t="s">
        <v>55</v>
      </c>
      <c r="G713" t="s">
        <v>5</v>
      </c>
      <c r="H713" t="s">
        <v>179</v>
      </c>
      <c r="I713" t="s">
        <v>40</v>
      </c>
      <c r="J713" t="s">
        <v>79</v>
      </c>
      <c r="K713">
        <v>0</v>
      </c>
      <c r="M713">
        <v>0</v>
      </c>
      <c r="N713" t="s">
        <v>812</v>
      </c>
      <c r="P713">
        <v>25125</v>
      </c>
      <c r="Q713">
        <v>-0.37</v>
      </c>
      <c r="R713">
        <v>0.64</v>
      </c>
      <c r="S713" t="b">
        <v>0</v>
      </c>
      <c r="T713">
        <v>3</v>
      </c>
      <c r="U713">
        <v>13</v>
      </c>
      <c r="V713" t="s">
        <v>0</v>
      </c>
    </row>
    <row r="714" spans="1:22" x14ac:dyDescent="0.25">
      <c r="A714" t="s">
        <v>811</v>
      </c>
      <c r="B714">
        <v>2021</v>
      </c>
      <c r="C714" t="s">
        <v>245</v>
      </c>
      <c r="D714" t="s">
        <v>125</v>
      </c>
      <c r="E714" t="s">
        <v>130</v>
      </c>
      <c r="F714" t="s">
        <v>103</v>
      </c>
      <c r="G714" t="s">
        <v>16</v>
      </c>
      <c r="H714" t="s">
        <v>179</v>
      </c>
      <c r="I714" t="s">
        <v>3</v>
      </c>
      <c r="J714" t="s">
        <v>23</v>
      </c>
      <c r="K714">
        <v>0</v>
      </c>
      <c r="M714">
        <v>0.1</v>
      </c>
      <c r="N714" t="s">
        <v>810</v>
      </c>
      <c r="P714">
        <v>24155</v>
      </c>
      <c r="Q714">
        <v>-0.95</v>
      </c>
      <c r="R714">
        <v>0.77</v>
      </c>
      <c r="S714" t="b">
        <v>0</v>
      </c>
      <c r="T714">
        <v>2</v>
      </c>
      <c r="U714">
        <v>5</v>
      </c>
      <c r="V714" t="s">
        <v>0</v>
      </c>
    </row>
    <row r="715" spans="1:22" x14ac:dyDescent="0.25">
      <c r="A715" t="s">
        <v>809</v>
      </c>
      <c r="B715">
        <v>2021</v>
      </c>
      <c r="C715" t="s">
        <v>382</v>
      </c>
      <c r="D715" t="s">
        <v>125</v>
      </c>
      <c r="E715" t="s">
        <v>147</v>
      </c>
      <c r="F715" t="s">
        <v>108</v>
      </c>
      <c r="G715" t="s">
        <v>25</v>
      </c>
      <c r="H715" t="s">
        <v>34</v>
      </c>
      <c r="I715" t="s">
        <v>107</v>
      </c>
      <c r="J715" t="s">
        <v>13</v>
      </c>
      <c r="K715">
        <v>1</v>
      </c>
      <c r="L715" t="s">
        <v>201</v>
      </c>
      <c r="M715">
        <v>0.86</v>
      </c>
      <c r="N715" t="s">
        <v>808</v>
      </c>
      <c r="O715" t="s">
        <v>201</v>
      </c>
      <c r="P715">
        <v>37510</v>
      </c>
      <c r="Q715">
        <v>17.48</v>
      </c>
      <c r="R715">
        <v>0.37</v>
      </c>
      <c r="S715" t="b">
        <v>1</v>
      </c>
      <c r="T715">
        <v>3</v>
      </c>
      <c r="U715">
        <v>8</v>
      </c>
      <c r="V715" t="s">
        <v>0</v>
      </c>
    </row>
    <row r="716" spans="1:22" x14ac:dyDescent="0.25">
      <c r="A716" t="s">
        <v>807</v>
      </c>
      <c r="B716">
        <v>2021</v>
      </c>
      <c r="C716" t="s">
        <v>287</v>
      </c>
      <c r="D716" t="s">
        <v>43</v>
      </c>
      <c r="E716" t="s">
        <v>182</v>
      </c>
      <c r="F716" t="s">
        <v>112</v>
      </c>
      <c r="G716" t="s">
        <v>62</v>
      </c>
      <c r="H716" t="s">
        <v>34</v>
      </c>
      <c r="I716" t="s">
        <v>74</v>
      </c>
      <c r="J716" t="s">
        <v>23</v>
      </c>
      <c r="K716">
        <v>1</v>
      </c>
      <c r="L716" t="s">
        <v>805</v>
      </c>
      <c r="M716">
        <v>0.61</v>
      </c>
      <c r="N716" t="s">
        <v>806</v>
      </c>
      <c r="O716" t="s">
        <v>805</v>
      </c>
      <c r="P716">
        <v>96912</v>
      </c>
      <c r="Q716">
        <v>17.260000000000002</v>
      </c>
      <c r="R716">
        <v>0.37</v>
      </c>
      <c r="S716" t="b">
        <v>1</v>
      </c>
      <c r="T716">
        <v>2</v>
      </c>
      <c r="U716">
        <v>15</v>
      </c>
      <c r="V716" t="s">
        <v>0</v>
      </c>
    </row>
    <row r="717" spans="1:22" x14ac:dyDescent="0.25">
      <c r="A717" t="s">
        <v>804</v>
      </c>
      <c r="B717">
        <v>2021</v>
      </c>
      <c r="C717" t="s">
        <v>58</v>
      </c>
      <c r="D717" t="s">
        <v>57</v>
      </c>
      <c r="E717" t="s">
        <v>7</v>
      </c>
      <c r="F717" t="s">
        <v>103</v>
      </c>
      <c r="G717" t="s">
        <v>135</v>
      </c>
      <c r="H717" t="s">
        <v>141</v>
      </c>
      <c r="I717" t="s">
        <v>97</v>
      </c>
      <c r="J717" t="s">
        <v>23</v>
      </c>
      <c r="K717">
        <v>0</v>
      </c>
      <c r="M717">
        <v>0.11</v>
      </c>
      <c r="N717" t="s">
        <v>803</v>
      </c>
      <c r="P717">
        <v>81112</v>
      </c>
      <c r="Q717">
        <v>-3.59</v>
      </c>
      <c r="R717">
        <v>0.76</v>
      </c>
      <c r="S717" t="b">
        <v>0</v>
      </c>
      <c r="T717">
        <v>3</v>
      </c>
      <c r="U717">
        <v>16</v>
      </c>
      <c r="V717" t="s">
        <v>0</v>
      </c>
    </row>
    <row r="718" spans="1:22" x14ac:dyDescent="0.25">
      <c r="A718" t="s">
        <v>802</v>
      </c>
      <c r="B718">
        <v>2021</v>
      </c>
      <c r="C718" t="s">
        <v>58</v>
      </c>
      <c r="D718" t="s">
        <v>57</v>
      </c>
      <c r="E718" t="s">
        <v>219</v>
      </c>
      <c r="F718" t="s">
        <v>136</v>
      </c>
      <c r="G718" t="s">
        <v>16</v>
      </c>
      <c r="H718" t="s">
        <v>4</v>
      </c>
      <c r="I718" t="s">
        <v>33</v>
      </c>
      <c r="J718" t="s">
        <v>96</v>
      </c>
      <c r="K718">
        <v>0</v>
      </c>
      <c r="M718">
        <v>7.0000000000000007E-2</v>
      </c>
      <c r="N718" t="s">
        <v>801</v>
      </c>
      <c r="P718">
        <v>86722</v>
      </c>
      <c r="Q718">
        <v>4.72</v>
      </c>
      <c r="R718">
        <v>0.64</v>
      </c>
      <c r="S718" t="b">
        <v>0</v>
      </c>
      <c r="T718">
        <v>1</v>
      </c>
      <c r="U718">
        <v>2</v>
      </c>
      <c r="V718" t="s">
        <v>0</v>
      </c>
    </row>
    <row r="719" spans="1:22" x14ac:dyDescent="0.25">
      <c r="A719" t="s">
        <v>800</v>
      </c>
      <c r="B719">
        <v>2021</v>
      </c>
      <c r="C719" t="s">
        <v>98</v>
      </c>
      <c r="D719" t="s">
        <v>43</v>
      </c>
      <c r="E719" t="s">
        <v>27</v>
      </c>
      <c r="F719" t="s">
        <v>156</v>
      </c>
      <c r="G719" t="s">
        <v>62</v>
      </c>
      <c r="H719" t="s">
        <v>34</v>
      </c>
      <c r="I719" t="s">
        <v>24</v>
      </c>
      <c r="J719" t="s">
        <v>79</v>
      </c>
      <c r="K719">
        <v>0</v>
      </c>
      <c r="M719">
        <v>7.0000000000000007E-2</v>
      </c>
      <c r="N719" t="s">
        <v>799</v>
      </c>
      <c r="P719">
        <v>68924</v>
      </c>
      <c r="Q719">
        <v>-1.1200000000000001</v>
      </c>
      <c r="R719">
        <v>0.61</v>
      </c>
      <c r="S719" t="b">
        <v>0</v>
      </c>
      <c r="T719">
        <v>2</v>
      </c>
      <c r="U719">
        <v>8</v>
      </c>
      <c r="V719" t="s">
        <v>0</v>
      </c>
    </row>
    <row r="720" spans="1:22" x14ac:dyDescent="0.25">
      <c r="A720" t="s">
        <v>798</v>
      </c>
      <c r="B720">
        <v>2021</v>
      </c>
      <c r="C720" t="s">
        <v>298</v>
      </c>
      <c r="D720" t="s">
        <v>125</v>
      </c>
      <c r="E720" t="s">
        <v>219</v>
      </c>
      <c r="F720" t="s">
        <v>115</v>
      </c>
      <c r="G720" t="s">
        <v>25</v>
      </c>
      <c r="H720" t="s">
        <v>179</v>
      </c>
      <c r="I720" t="s">
        <v>97</v>
      </c>
      <c r="J720" t="s">
        <v>23</v>
      </c>
      <c r="K720">
        <v>0</v>
      </c>
      <c r="M720">
        <v>0.15</v>
      </c>
      <c r="N720" t="s">
        <v>797</v>
      </c>
      <c r="P720">
        <v>26674</v>
      </c>
      <c r="Q720">
        <v>0.69</v>
      </c>
      <c r="R720">
        <v>0.74</v>
      </c>
      <c r="S720" t="b">
        <v>0</v>
      </c>
      <c r="T720">
        <v>2</v>
      </c>
      <c r="U720">
        <v>17</v>
      </c>
      <c r="V720" t="s">
        <v>0</v>
      </c>
    </row>
    <row r="721" spans="1:22" x14ac:dyDescent="0.25">
      <c r="A721" t="s">
        <v>796</v>
      </c>
      <c r="B721">
        <v>2021</v>
      </c>
      <c r="C721" t="s">
        <v>171</v>
      </c>
      <c r="D721" t="s">
        <v>57</v>
      </c>
      <c r="E721" t="s">
        <v>56</v>
      </c>
      <c r="F721" t="s">
        <v>63</v>
      </c>
      <c r="G721" t="s">
        <v>16</v>
      </c>
      <c r="H721" t="s">
        <v>179</v>
      </c>
      <c r="I721" t="s">
        <v>90</v>
      </c>
      <c r="J721" t="s">
        <v>79</v>
      </c>
      <c r="K721">
        <v>1</v>
      </c>
      <c r="L721" t="s">
        <v>794</v>
      </c>
      <c r="M721">
        <v>0.42</v>
      </c>
      <c r="N721" t="s">
        <v>795</v>
      </c>
      <c r="O721" t="s">
        <v>794</v>
      </c>
      <c r="P721">
        <v>137925</v>
      </c>
      <c r="Q721">
        <v>10.09</v>
      </c>
      <c r="R721">
        <v>0.16</v>
      </c>
      <c r="S721" t="b">
        <v>1</v>
      </c>
      <c r="T721">
        <v>1</v>
      </c>
      <c r="U721">
        <v>4</v>
      </c>
      <c r="V721" t="s">
        <v>0</v>
      </c>
    </row>
    <row r="722" spans="1:22" x14ac:dyDescent="0.25">
      <c r="A722" t="s">
        <v>793</v>
      </c>
      <c r="B722">
        <v>2021</v>
      </c>
      <c r="C722" t="s">
        <v>29</v>
      </c>
      <c r="D722" t="s">
        <v>28</v>
      </c>
      <c r="E722" t="s">
        <v>27</v>
      </c>
      <c r="F722" t="s">
        <v>136</v>
      </c>
      <c r="G722" t="s">
        <v>5</v>
      </c>
      <c r="H722" t="s">
        <v>141</v>
      </c>
      <c r="I722" t="s">
        <v>3</v>
      </c>
      <c r="J722" t="s">
        <v>96</v>
      </c>
      <c r="K722">
        <v>1</v>
      </c>
      <c r="L722" t="s">
        <v>791</v>
      </c>
      <c r="M722">
        <v>0.6</v>
      </c>
      <c r="N722" t="s">
        <v>792</v>
      </c>
      <c r="O722" t="s">
        <v>791</v>
      </c>
      <c r="P722">
        <v>74348</v>
      </c>
      <c r="Q722">
        <v>8.6300000000000008</v>
      </c>
      <c r="R722">
        <v>0.37</v>
      </c>
      <c r="S722" t="b">
        <v>1</v>
      </c>
      <c r="T722">
        <v>3</v>
      </c>
      <c r="U722">
        <v>0</v>
      </c>
      <c r="V722" t="s">
        <v>0</v>
      </c>
    </row>
    <row r="723" spans="1:22" x14ac:dyDescent="0.25">
      <c r="A723" t="s">
        <v>790</v>
      </c>
      <c r="B723">
        <v>2021</v>
      </c>
      <c r="C723" t="s">
        <v>176</v>
      </c>
      <c r="D723" t="s">
        <v>64</v>
      </c>
      <c r="E723" t="s">
        <v>86</v>
      </c>
      <c r="F723" t="s">
        <v>124</v>
      </c>
      <c r="G723" t="s">
        <v>16</v>
      </c>
      <c r="H723" t="s">
        <v>179</v>
      </c>
      <c r="I723" t="s">
        <v>90</v>
      </c>
      <c r="J723" t="s">
        <v>79</v>
      </c>
      <c r="K723">
        <v>1</v>
      </c>
      <c r="L723" t="s">
        <v>739</v>
      </c>
      <c r="M723">
        <v>0.77</v>
      </c>
      <c r="N723" t="s">
        <v>789</v>
      </c>
      <c r="O723" t="s">
        <v>739</v>
      </c>
      <c r="P723">
        <v>127468</v>
      </c>
      <c r="Q723">
        <v>8.0500000000000007</v>
      </c>
      <c r="R723">
        <v>0.12</v>
      </c>
      <c r="S723" t="b">
        <v>1</v>
      </c>
      <c r="T723">
        <v>2</v>
      </c>
      <c r="U723">
        <v>8</v>
      </c>
      <c r="V723" t="s">
        <v>0</v>
      </c>
    </row>
    <row r="724" spans="1:22" x14ac:dyDescent="0.25">
      <c r="A724" t="s">
        <v>788</v>
      </c>
      <c r="B724">
        <v>2021</v>
      </c>
      <c r="C724" t="s">
        <v>81</v>
      </c>
      <c r="D724" t="s">
        <v>28</v>
      </c>
      <c r="E724" t="s">
        <v>147</v>
      </c>
      <c r="F724" t="s">
        <v>69</v>
      </c>
      <c r="G724" t="s">
        <v>16</v>
      </c>
      <c r="H724" t="s">
        <v>141</v>
      </c>
      <c r="I724" t="s">
        <v>97</v>
      </c>
      <c r="J724" t="s">
        <v>2</v>
      </c>
      <c r="K724">
        <v>1</v>
      </c>
      <c r="L724" t="s">
        <v>786</v>
      </c>
      <c r="M724">
        <v>0.6</v>
      </c>
      <c r="N724" t="s">
        <v>787</v>
      </c>
      <c r="O724" t="s">
        <v>786</v>
      </c>
      <c r="P724">
        <v>69571</v>
      </c>
      <c r="Q724">
        <v>7.05</v>
      </c>
      <c r="R724">
        <v>0.28000000000000003</v>
      </c>
      <c r="S724" t="b">
        <v>1</v>
      </c>
      <c r="T724">
        <v>3</v>
      </c>
      <c r="U724">
        <v>18</v>
      </c>
      <c r="V724" t="s">
        <v>0</v>
      </c>
    </row>
    <row r="725" spans="1:22" x14ac:dyDescent="0.25">
      <c r="A725" t="s">
        <v>785</v>
      </c>
      <c r="B725">
        <v>2021</v>
      </c>
      <c r="C725" t="s">
        <v>58</v>
      </c>
      <c r="D725" t="s">
        <v>57</v>
      </c>
      <c r="E725" t="s">
        <v>7</v>
      </c>
      <c r="F725" t="s">
        <v>80</v>
      </c>
      <c r="G725" t="s">
        <v>135</v>
      </c>
      <c r="H725" t="s">
        <v>141</v>
      </c>
      <c r="I725" t="s">
        <v>40</v>
      </c>
      <c r="J725" t="s">
        <v>79</v>
      </c>
      <c r="K725">
        <v>0</v>
      </c>
      <c r="M725">
        <v>0.17</v>
      </c>
      <c r="N725" t="s">
        <v>784</v>
      </c>
      <c r="P725">
        <v>89457</v>
      </c>
      <c r="Q725">
        <v>1.6</v>
      </c>
      <c r="R725">
        <v>0.77</v>
      </c>
      <c r="S725" t="b">
        <v>0</v>
      </c>
      <c r="T725">
        <v>3</v>
      </c>
      <c r="U725">
        <v>6</v>
      </c>
      <c r="V725" t="s">
        <v>0</v>
      </c>
    </row>
    <row r="726" spans="1:22" x14ac:dyDescent="0.25">
      <c r="A726" t="s">
        <v>783</v>
      </c>
      <c r="B726">
        <v>2021</v>
      </c>
      <c r="C726" t="s">
        <v>58</v>
      </c>
      <c r="D726" t="s">
        <v>57</v>
      </c>
      <c r="E726" t="s">
        <v>36</v>
      </c>
      <c r="F726" t="s">
        <v>69</v>
      </c>
      <c r="G726" t="s">
        <v>5</v>
      </c>
      <c r="H726" t="s">
        <v>4</v>
      </c>
      <c r="I726" t="s">
        <v>74</v>
      </c>
      <c r="J726" t="s">
        <v>13</v>
      </c>
      <c r="K726">
        <v>0</v>
      </c>
      <c r="M726">
        <v>0.04</v>
      </c>
      <c r="N726" t="s">
        <v>782</v>
      </c>
      <c r="P726">
        <v>80880</v>
      </c>
      <c r="Q726">
        <v>0.55000000000000004</v>
      </c>
      <c r="R726">
        <v>0.66</v>
      </c>
      <c r="S726" t="b">
        <v>0</v>
      </c>
      <c r="T726">
        <v>2</v>
      </c>
      <c r="U726">
        <v>7</v>
      </c>
      <c r="V726" t="s">
        <v>0</v>
      </c>
    </row>
    <row r="727" spans="1:22" x14ac:dyDescent="0.25">
      <c r="A727" t="s">
        <v>781</v>
      </c>
      <c r="B727">
        <v>2021</v>
      </c>
      <c r="C727" t="s">
        <v>176</v>
      </c>
      <c r="D727" t="s">
        <v>64</v>
      </c>
      <c r="E727" t="s">
        <v>7</v>
      </c>
      <c r="F727" t="s">
        <v>124</v>
      </c>
      <c r="G727" t="s">
        <v>62</v>
      </c>
      <c r="H727" t="s">
        <v>34</v>
      </c>
      <c r="I727" t="s">
        <v>90</v>
      </c>
      <c r="J727" t="s">
        <v>96</v>
      </c>
      <c r="K727">
        <v>0</v>
      </c>
      <c r="M727">
        <v>0.06</v>
      </c>
      <c r="N727" t="s">
        <v>780</v>
      </c>
      <c r="P727">
        <v>90617</v>
      </c>
      <c r="Q727">
        <v>-0.54</v>
      </c>
      <c r="R727">
        <v>0.71</v>
      </c>
      <c r="S727" t="b">
        <v>0</v>
      </c>
      <c r="T727">
        <v>1</v>
      </c>
      <c r="U727">
        <v>3</v>
      </c>
      <c r="V727" t="s">
        <v>0</v>
      </c>
    </row>
    <row r="728" spans="1:22" x14ac:dyDescent="0.25">
      <c r="A728" t="s">
        <v>779</v>
      </c>
      <c r="B728">
        <v>2021</v>
      </c>
      <c r="C728" t="s">
        <v>152</v>
      </c>
      <c r="D728" t="s">
        <v>28</v>
      </c>
      <c r="E728" t="s">
        <v>17</v>
      </c>
      <c r="F728" t="s">
        <v>63</v>
      </c>
      <c r="G728" t="s">
        <v>16</v>
      </c>
      <c r="H728" t="s">
        <v>4</v>
      </c>
      <c r="I728" t="s">
        <v>107</v>
      </c>
      <c r="J728" t="s">
        <v>13</v>
      </c>
      <c r="K728">
        <v>1</v>
      </c>
      <c r="L728" t="s">
        <v>240</v>
      </c>
      <c r="M728">
        <v>0.89</v>
      </c>
      <c r="N728" t="s">
        <v>778</v>
      </c>
      <c r="O728" t="s">
        <v>240</v>
      </c>
      <c r="P728">
        <v>71493</v>
      </c>
      <c r="Q728">
        <v>10.050000000000001</v>
      </c>
      <c r="R728">
        <v>0.1</v>
      </c>
      <c r="S728" t="b">
        <v>1</v>
      </c>
      <c r="T728">
        <v>3</v>
      </c>
      <c r="U728">
        <v>3</v>
      </c>
      <c r="V728" t="s">
        <v>0</v>
      </c>
    </row>
    <row r="729" spans="1:22" x14ac:dyDescent="0.25">
      <c r="A729" t="s">
        <v>777</v>
      </c>
      <c r="B729">
        <v>2021</v>
      </c>
      <c r="C729" t="s">
        <v>183</v>
      </c>
      <c r="D729" t="s">
        <v>131</v>
      </c>
      <c r="E729" t="s">
        <v>7</v>
      </c>
      <c r="F729" t="s">
        <v>35</v>
      </c>
      <c r="G729" t="s">
        <v>5</v>
      </c>
      <c r="H729" t="s">
        <v>141</v>
      </c>
      <c r="I729" t="s">
        <v>3</v>
      </c>
      <c r="J729" t="s">
        <v>23</v>
      </c>
      <c r="K729">
        <v>0</v>
      </c>
      <c r="M729">
        <v>0.08</v>
      </c>
      <c r="N729" t="s">
        <v>776</v>
      </c>
      <c r="P729">
        <v>43421</v>
      </c>
      <c r="Q729">
        <v>-2.69</v>
      </c>
      <c r="R729">
        <v>0.86</v>
      </c>
      <c r="S729" t="b">
        <v>0</v>
      </c>
      <c r="T729">
        <v>1</v>
      </c>
      <c r="U729">
        <v>3</v>
      </c>
      <c r="V729" t="s">
        <v>0</v>
      </c>
    </row>
    <row r="730" spans="1:22" x14ac:dyDescent="0.25">
      <c r="A730" t="s">
        <v>775</v>
      </c>
      <c r="B730">
        <v>2021</v>
      </c>
      <c r="C730" t="s">
        <v>70</v>
      </c>
      <c r="D730" t="s">
        <v>18</v>
      </c>
      <c r="E730" t="s">
        <v>50</v>
      </c>
      <c r="F730" t="s">
        <v>69</v>
      </c>
      <c r="G730" t="s">
        <v>16</v>
      </c>
      <c r="H730" t="s">
        <v>61</v>
      </c>
      <c r="I730" t="s">
        <v>3</v>
      </c>
      <c r="J730" t="s">
        <v>2</v>
      </c>
      <c r="K730">
        <v>1</v>
      </c>
      <c r="L730" t="s">
        <v>346</v>
      </c>
      <c r="M730">
        <v>0.71</v>
      </c>
      <c r="N730" t="s">
        <v>774</v>
      </c>
      <c r="O730" t="s">
        <v>346</v>
      </c>
      <c r="P730">
        <v>112929</v>
      </c>
      <c r="Q730">
        <v>7.23</v>
      </c>
      <c r="R730">
        <v>0.11</v>
      </c>
      <c r="S730" t="b">
        <v>1</v>
      </c>
      <c r="T730">
        <v>3</v>
      </c>
      <c r="U730">
        <v>7</v>
      </c>
      <c r="V730" t="s">
        <v>0</v>
      </c>
    </row>
    <row r="731" spans="1:22" x14ac:dyDescent="0.25">
      <c r="A731" t="s">
        <v>773</v>
      </c>
      <c r="B731">
        <v>2021</v>
      </c>
      <c r="C731" t="s">
        <v>167</v>
      </c>
      <c r="D731" t="s">
        <v>43</v>
      </c>
      <c r="E731" t="s">
        <v>36</v>
      </c>
      <c r="F731" t="s">
        <v>124</v>
      </c>
      <c r="G731" t="s">
        <v>135</v>
      </c>
      <c r="H731" t="s">
        <v>34</v>
      </c>
      <c r="I731" t="s">
        <v>24</v>
      </c>
      <c r="J731" t="s">
        <v>13</v>
      </c>
      <c r="K731">
        <v>1</v>
      </c>
      <c r="L731" t="s">
        <v>110</v>
      </c>
      <c r="M731">
        <v>0.53</v>
      </c>
      <c r="N731" t="s">
        <v>772</v>
      </c>
      <c r="O731" t="s">
        <v>110</v>
      </c>
      <c r="P731">
        <v>97215</v>
      </c>
      <c r="Q731">
        <v>7</v>
      </c>
      <c r="R731">
        <v>0.21</v>
      </c>
      <c r="S731" t="b">
        <v>1</v>
      </c>
      <c r="T731">
        <v>3</v>
      </c>
      <c r="U731">
        <v>1</v>
      </c>
      <c r="V731" t="s">
        <v>0</v>
      </c>
    </row>
    <row r="732" spans="1:22" x14ac:dyDescent="0.25">
      <c r="A732" t="s">
        <v>771</v>
      </c>
      <c r="B732">
        <v>2021</v>
      </c>
      <c r="C732" t="s">
        <v>382</v>
      </c>
      <c r="D732" t="s">
        <v>125</v>
      </c>
      <c r="E732" t="s">
        <v>116</v>
      </c>
      <c r="F732" t="s">
        <v>112</v>
      </c>
      <c r="G732" t="s">
        <v>62</v>
      </c>
      <c r="H732" t="s">
        <v>102</v>
      </c>
      <c r="I732" t="s">
        <v>90</v>
      </c>
      <c r="J732" t="s">
        <v>79</v>
      </c>
      <c r="K732">
        <v>1</v>
      </c>
      <c r="L732" t="s">
        <v>769</v>
      </c>
      <c r="M732">
        <v>0.72</v>
      </c>
      <c r="N732" t="s">
        <v>770</v>
      </c>
      <c r="O732" t="s">
        <v>769</v>
      </c>
      <c r="P732">
        <v>29545</v>
      </c>
      <c r="Q732">
        <v>8.09</v>
      </c>
      <c r="R732">
        <v>0.35</v>
      </c>
      <c r="S732" t="b">
        <v>1</v>
      </c>
      <c r="T732">
        <v>3</v>
      </c>
      <c r="U732">
        <v>8</v>
      </c>
      <c r="V732" t="s">
        <v>0</v>
      </c>
    </row>
    <row r="733" spans="1:22" x14ac:dyDescent="0.25">
      <c r="A733" t="s">
        <v>768</v>
      </c>
      <c r="B733">
        <v>2022</v>
      </c>
      <c r="C733" t="s">
        <v>81</v>
      </c>
      <c r="D733" t="s">
        <v>28</v>
      </c>
      <c r="E733" t="s">
        <v>147</v>
      </c>
      <c r="F733" t="s">
        <v>41</v>
      </c>
      <c r="G733" t="s">
        <v>25</v>
      </c>
      <c r="H733" t="s">
        <v>15</v>
      </c>
      <c r="I733" t="s">
        <v>74</v>
      </c>
      <c r="J733" t="s">
        <v>79</v>
      </c>
      <c r="K733">
        <v>1</v>
      </c>
      <c r="L733" t="s">
        <v>346</v>
      </c>
      <c r="M733">
        <v>0.77</v>
      </c>
      <c r="N733" t="s">
        <v>767</v>
      </c>
      <c r="O733" t="s">
        <v>346</v>
      </c>
      <c r="P733">
        <v>67379</v>
      </c>
      <c r="Q733">
        <v>8.4700000000000006</v>
      </c>
      <c r="R733">
        <v>0.28999999999999998</v>
      </c>
      <c r="S733" t="b">
        <v>1</v>
      </c>
      <c r="T733">
        <v>3</v>
      </c>
      <c r="U733">
        <v>3</v>
      </c>
      <c r="V733" t="s">
        <v>0</v>
      </c>
    </row>
    <row r="734" spans="1:22" x14ac:dyDescent="0.25">
      <c r="A734" t="s">
        <v>766</v>
      </c>
      <c r="B734">
        <v>2022</v>
      </c>
      <c r="C734" t="s">
        <v>164</v>
      </c>
      <c r="D734" t="s">
        <v>8</v>
      </c>
      <c r="E734" t="s">
        <v>56</v>
      </c>
      <c r="F734" t="s">
        <v>80</v>
      </c>
      <c r="G734" t="s">
        <v>62</v>
      </c>
      <c r="H734" t="s">
        <v>141</v>
      </c>
      <c r="I734" t="s">
        <v>90</v>
      </c>
      <c r="J734" t="s">
        <v>79</v>
      </c>
      <c r="K734">
        <v>0</v>
      </c>
      <c r="M734">
        <v>0.02</v>
      </c>
      <c r="N734" t="s">
        <v>765</v>
      </c>
      <c r="P734">
        <v>31038</v>
      </c>
      <c r="Q734">
        <v>-3.21</v>
      </c>
      <c r="R734">
        <v>0.89</v>
      </c>
      <c r="S734" t="b">
        <v>0</v>
      </c>
      <c r="T734">
        <v>1</v>
      </c>
      <c r="U734">
        <v>8</v>
      </c>
      <c r="V734" t="s">
        <v>0</v>
      </c>
    </row>
    <row r="735" spans="1:22" x14ac:dyDescent="0.25">
      <c r="A735" t="s">
        <v>764</v>
      </c>
      <c r="B735">
        <v>2022</v>
      </c>
      <c r="C735" t="s">
        <v>348</v>
      </c>
      <c r="D735" t="s">
        <v>64</v>
      </c>
      <c r="E735" t="s">
        <v>116</v>
      </c>
      <c r="F735" t="s">
        <v>108</v>
      </c>
      <c r="G735" t="s">
        <v>16</v>
      </c>
      <c r="H735" t="s">
        <v>15</v>
      </c>
      <c r="I735" t="s">
        <v>68</v>
      </c>
      <c r="J735" t="s">
        <v>73</v>
      </c>
      <c r="K735">
        <v>0</v>
      </c>
      <c r="M735">
        <v>0.06</v>
      </c>
      <c r="N735" t="s">
        <v>763</v>
      </c>
      <c r="P735">
        <v>92058</v>
      </c>
      <c r="Q735">
        <v>3.92</v>
      </c>
      <c r="R735">
        <v>0.85</v>
      </c>
      <c r="S735" t="b">
        <v>0</v>
      </c>
      <c r="T735">
        <v>3</v>
      </c>
      <c r="U735">
        <v>5</v>
      </c>
      <c r="V735" t="s">
        <v>0</v>
      </c>
    </row>
    <row r="736" spans="1:22" x14ac:dyDescent="0.25">
      <c r="A736" t="s">
        <v>762</v>
      </c>
      <c r="B736">
        <v>2022</v>
      </c>
      <c r="C736" t="s">
        <v>104</v>
      </c>
      <c r="D736" t="s">
        <v>8</v>
      </c>
      <c r="E736" t="s">
        <v>7</v>
      </c>
      <c r="F736" t="s">
        <v>115</v>
      </c>
      <c r="G736" t="s">
        <v>16</v>
      </c>
      <c r="H736" t="s">
        <v>179</v>
      </c>
      <c r="I736" t="s">
        <v>40</v>
      </c>
      <c r="J736" t="s">
        <v>96</v>
      </c>
      <c r="K736">
        <v>0</v>
      </c>
      <c r="M736">
        <v>0.09</v>
      </c>
      <c r="N736" t="s">
        <v>761</v>
      </c>
      <c r="P736">
        <v>28175</v>
      </c>
      <c r="Q736">
        <v>4.43</v>
      </c>
      <c r="R736">
        <v>0.7</v>
      </c>
      <c r="S736" t="b">
        <v>0</v>
      </c>
      <c r="T736">
        <v>2</v>
      </c>
      <c r="U736">
        <v>15</v>
      </c>
      <c r="V736" t="s">
        <v>0</v>
      </c>
    </row>
    <row r="737" spans="1:22" x14ac:dyDescent="0.25">
      <c r="A737" t="s">
        <v>760</v>
      </c>
      <c r="B737">
        <v>2022</v>
      </c>
      <c r="C737" t="s">
        <v>281</v>
      </c>
      <c r="D737" t="s">
        <v>91</v>
      </c>
      <c r="E737" t="s">
        <v>36</v>
      </c>
      <c r="F737" t="s">
        <v>136</v>
      </c>
      <c r="G737" t="s">
        <v>135</v>
      </c>
      <c r="H737" t="s">
        <v>179</v>
      </c>
      <c r="I737" t="s">
        <v>24</v>
      </c>
      <c r="J737" t="s">
        <v>73</v>
      </c>
      <c r="K737">
        <v>0</v>
      </c>
      <c r="M737">
        <v>0.17</v>
      </c>
      <c r="N737" t="s">
        <v>759</v>
      </c>
      <c r="P737">
        <v>72871</v>
      </c>
      <c r="Q737">
        <v>1.85</v>
      </c>
      <c r="R737">
        <v>0.76</v>
      </c>
      <c r="S737" t="b">
        <v>0</v>
      </c>
      <c r="T737">
        <v>1</v>
      </c>
      <c r="U737">
        <v>7</v>
      </c>
      <c r="V737" t="s">
        <v>0</v>
      </c>
    </row>
    <row r="738" spans="1:22" x14ac:dyDescent="0.25">
      <c r="A738" t="s">
        <v>758</v>
      </c>
      <c r="B738">
        <v>2022</v>
      </c>
      <c r="C738" t="s">
        <v>413</v>
      </c>
      <c r="D738" t="s">
        <v>8</v>
      </c>
      <c r="E738" t="s">
        <v>42</v>
      </c>
      <c r="F738" t="s">
        <v>35</v>
      </c>
      <c r="G738" t="s">
        <v>5</v>
      </c>
      <c r="H738" t="s">
        <v>34</v>
      </c>
      <c r="I738" t="s">
        <v>74</v>
      </c>
      <c r="J738" t="s">
        <v>96</v>
      </c>
      <c r="K738">
        <v>1</v>
      </c>
      <c r="L738" t="s">
        <v>756</v>
      </c>
      <c r="M738">
        <v>0.93</v>
      </c>
      <c r="N738" t="s">
        <v>757</v>
      </c>
      <c r="O738" t="s">
        <v>756</v>
      </c>
      <c r="P738">
        <v>39698</v>
      </c>
      <c r="Q738">
        <v>11.38</v>
      </c>
      <c r="R738">
        <v>0.15</v>
      </c>
      <c r="S738" t="b">
        <v>1</v>
      </c>
      <c r="T738">
        <v>3</v>
      </c>
      <c r="U738">
        <v>1</v>
      </c>
      <c r="V738" t="s">
        <v>0</v>
      </c>
    </row>
    <row r="739" spans="1:22" x14ac:dyDescent="0.25">
      <c r="A739" t="s">
        <v>755</v>
      </c>
      <c r="B739">
        <v>2022</v>
      </c>
      <c r="C739" t="s">
        <v>81</v>
      </c>
      <c r="D739" t="s">
        <v>28</v>
      </c>
      <c r="E739" t="s">
        <v>121</v>
      </c>
      <c r="F739" t="s">
        <v>80</v>
      </c>
      <c r="G739" t="s">
        <v>25</v>
      </c>
      <c r="H739" t="s">
        <v>61</v>
      </c>
      <c r="I739" t="s">
        <v>68</v>
      </c>
      <c r="J739" t="s">
        <v>2</v>
      </c>
      <c r="K739">
        <v>1</v>
      </c>
      <c r="L739" t="s">
        <v>110</v>
      </c>
      <c r="M739">
        <v>0.45</v>
      </c>
      <c r="N739" t="s">
        <v>754</v>
      </c>
      <c r="O739" t="s">
        <v>110</v>
      </c>
      <c r="P739">
        <v>73543</v>
      </c>
      <c r="Q739">
        <v>13.38</v>
      </c>
      <c r="R739">
        <v>0.2</v>
      </c>
      <c r="S739" t="b">
        <v>1</v>
      </c>
      <c r="T739">
        <v>3</v>
      </c>
      <c r="U739">
        <v>1</v>
      </c>
      <c r="V739" t="s">
        <v>0</v>
      </c>
    </row>
    <row r="740" spans="1:22" x14ac:dyDescent="0.25">
      <c r="A740" t="s">
        <v>753</v>
      </c>
      <c r="B740">
        <v>2022</v>
      </c>
      <c r="C740" t="s">
        <v>164</v>
      </c>
      <c r="D740" t="s">
        <v>8</v>
      </c>
      <c r="E740" t="s">
        <v>27</v>
      </c>
      <c r="F740" t="s">
        <v>103</v>
      </c>
      <c r="G740" t="s">
        <v>16</v>
      </c>
      <c r="H740" t="s">
        <v>179</v>
      </c>
      <c r="I740" t="s">
        <v>90</v>
      </c>
      <c r="J740" t="s">
        <v>96</v>
      </c>
      <c r="K740">
        <v>0</v>
      </c>
      <c r="M740">
        <v>0.16</v>
      </c>
      <c r="N740" t="s">
        <v>752</v>
      </c>
      <c r="P740">
        <v>26796</v>
      </c>
      <c r="Q740">
        <v>-2.72</v>
      </c>
      <c r="R740">
        <v>0.77</v>
      </c>
      <c r="S740" t="b">
        <v>0</v>
      </c>
      <c r="T740">
        <v>2</v>
      </c>
      <c r="U740">
        <v>4</v>
      </c>
      <c r="V740" t="s">
        <v>0</v>
      </c>
    </row>
    <row r="741" spans="1:22" x14ac:dyDescent="0.25">
      <c r="A741" t="s">
        <v>751</v>
      </c>
      <c r="B741">
        <v>2022</v>
      </c>
      <c r="C741" t="s">
        <v>157</v>
      </c>
      <c r="D741" t="s">
        <v>18</v>
      </c>
      <c r="E741" t="s">
        <v>27</v>
      </c>
      <c r="F741" t="s">
        <v>112</v>
      </c>
      <c r="G741" t="s">
        <v>62</v>
      </c>
      <c r="H741" t="s">
        <v>179</v>
      </c>
      <c r="I741" t="s">
        <v>33</v>
      </c>
      <c r="J741" t="s">
        <v>13</v>
      </c>
      <c r="K741">
        <v>1</v>
      </c>
      <c r="L741" t="s">
        <v>201</v>
      </c>
      <c r="M741">
        <v>0.64</v>
      </c>
      <c r="N741" t="s">
        <v>750</v>
      </c>
      <c r="O741" t="s">
        <v>201</v>
      </c>
      <c r="P741">
        <v>112930</v>
      </c>
      <c r="Q741">
        <v>6.33</v>
      </c>
      <c r="R741">
        <v>0.13</v>
      </c>
      <c r="S741" t="b">
        <v>1</v>
      </c>
      <c r="T741">
        <v>3</v>
      </c>
      <c r="U741">
        <v>19</v>
      </c>
      <c r="V741" t="s">
        <v>0</v>
      </c>
    </row>
    <row r="742" spans="1:22" x14ac:dyDescent="0.25">
      <c r="A742" t="s">
        <v>749</v>
      </c>
      <c r="B742">
        <v>2022</v>
      </c>
      <c r="C742" t="s">
        <v>157</v>
      </c>
      <c r="D742" t="s">
        <v>18</v>
      </c>
      <c r="E742" t="s">
        <v>121</v>
      </c>
      <c r="F742" t="s">
        <v>75</v>
      </c>
      <c r="G742" t="s">
        <v>135</v>
      </c>
      <c r="H742" t="s">
        <v>61</v>
      </c>
      <c r="I742" t="s">
        <v>40</v>
      </c>
      <c r="J742" t="s">
        <v>2</v>
      </c>
      <c r="K742">
        <v>1</v>
      </c>
      <c r="L742" t="s">
        <v>747</v>
      </c>
      <c r="M742">
        <v>0.56000000000000005</v>
      </c>
      <c r="N742" t="s">
        <v>748</v>
      </c>
      <c r="O742" t="s">
        <v>747</v>
      </c>
      <c r="P742">
        <v>94889</v>
      </c>
      <c r="Q742">
        <v>15.95</v>
      </c>
      <c r="R742">
        <v>0.28999999999999998</v>
      </c>
      <c r="S742" t="b">
        <v>1</v>
      </c>
      <c r="T742">
        <v>3</v>
      </c>
      <c r="U742">
        <v>15</v>
      </c>
      <c r="V742" t="s">
        <v>0</v>
      </c>
    </row>
    <row r="743" spans="1:22" x14ac:dyDescent="0.25">
      <c r="A743" t="s">
        <v>746</v>
      </c>
      <c r="B743">
        <v>2022</v>
      </c>
      <c r="C743" t="s">
        <v>148</v>
      </c>
      <c r="D743" t="s">
        <v>28</v>
      </c>
      <c r="E743" t="s">
        <v>50</v>
      </c>
      <c r="F743" t="s">
        <v>136</v>
      </c>
      <c r="G743" t="s">
        <v>5</v>
      </c>
      <c r="H743" t="s">
        <v>34</v>
      </c>
      <c r="I743" t="s">
        <v>24</v>
      </c>
      <c r="J743" t="s">
        <v>13</v>
      </c>
      <c r="K743">
        <v>0</v>
      </c>
      <c r="M743">
        <v>0.1</v>
      </c>
      <c r="N743" t="s">
        <v>745</v>
      </c>
      <c r="P743">
        <v>45070</v>
      </c>
      <c r="Q743">
        <v>-2.16</v>
      </c>
      <c r="R743">
        <v>0.76</v>
      </c>
      <c r="S743" t="b">
        <v>0</v>
      </c>
      <c r="T743">
        <v>1</v>
      </c>
      <c r="U743">
        <v>14</v>
      </c>
      <c r="V743" t="s">
        <v>0</v>
      </c>
    </row>
    <row r="744" spans="1:22" x14ac:dyDescent="0.25">
      <c r="A744" t="s">
        <v>744</v>
      </c>
      <c r="B744">
        <v>2022</v>
      </c>
      <c r="C744" t="s">
        <v>287</v>
      </c>
      <c r="D744" t="s">
        <v>43</v>
      </c>
      <c r="E744" t="s">
        <v>17</v>
      </c>
      <c r="F744" t="s">
        <v>55</v>
      </c>
      <c r="G744" t="s">
        <v>25</v>
      </c>
      <c r="H744" t="s">
        <v>15</v>
      </c>
      <c r="I744" t="s">
        <v>74</v>
      </c>
      <c r="J744" t="s">
        <v>2</v>
      </c>
      <c r="K744">
        <v>0</v>
      </c>
      <c r="M744">
        <v>0.05</v>
      </c>
      <c r="N744" t="s">
        <v>743</v>
      </c>
      <c r="P744">
        <v>80670</v>
      </c>
      <c r="Q744">
        <v>3.04</v>
      </c>
      <c r="R744">
        <v>0.64</v>
      </c>
      <c r="S744" t="b">
        <v>0</v>
      </c>
      <c r="T744">
        <v>1</v>
      </c>
      <c r="U744">
        <v>6</v>
      </c>
      <c r="V744" t="s">
        <v>0</v>
      </c>
    </row>
    <row r="745" spans="1:22" x14ac:dyDescent="0.25">
      <c r="A745" t="s">
        <v>742</v>
      </c>
      <c r="B745">
        <v>2022</v>
      </c>
      <c r="C745" t="s">
        <v>92</v>
      </c>
      <c r="D745" t="s">
        <v>91</v>
      </c>
      <c r="E745" t="s">
        <v>130</v>
      </c>
      <c r="F745" t="s">
        <v>41</v>
      </c>
      <c r="G745" t="s">
        <v>135</v>
      </c>
      <c r="H745" t="s">
        <v>102</v>
      </c>
      <c r="I745" t="s">
        <v>14</v>
      </c>
      <c r="J745" t="s">
        <v>13</v>
      </c>
      <c r="K745">
        <v>0</v>
      </c>
      <c r="M745">
        <v>0.16</v>
      </c>
      <c r="N745" t="s">
        <v>741</v>
      </c>
      <c r="P745">
        <v>62172</v>
      </c>
      <c r="Q745">
        <v>-2.79</v>
      </c>
      <c r="R745">
        <v>0.67</v>
      </c>
      <c r="S745" t="b">
        <v>0</v>
      </c>
      <c r="T745">
        <v>3</v>
      </c>
      <c r="U745">
        <v>0</v>
      </c>
      <c r="V745" t="s">
        <v>46</v>
      </c>
    </row>
    <row r="746" spans="1:22" x14ac:dyDescent="0.25">
      <c r="A746" t="s">
        <v>740</v>
      </c>
      <c r="B746">
        <v>2022</v>
      </c>
      <c r="C746" t="s">
        <v>358</v>
      </c>
      <c r="D746" t="s">
        <v>131</v>
      </c>
      <c r="E746" t="s">
        <v>86</v>
      </c>
      <c r="F746" t="s">
        <v>55</v>
      </c>
      <c r="G746" t="s">
        <v>25</v>
      </c>
      <c r="H746" t="s">
        <v>179</v>
      </c>
      <c r="I746" t="s">
        <v>107</v>
      </c>
      <c r="J746" t="s">
        <v>23</v>
      </c>
      <c r="K746">
        <v>1</v>
      </c>
      <c r="L746" t="s">
        <v>739</v>
      </c>
      <c r="M746">
        <v>0.46</v>
      </c>
      <c r="N746" t="s">
        <v>516</v>
      </c>
      <c r="O746" t="s">
        <v>739</v>
      </c>
      <c r="P746">
        <v>55599</v>
      </c>
      <c r="Q746">
        <v>5.6</v>
      </c>
      <c r="R746">
        <v>0.18</v>
      </c>
      <c r="S746" t="b">
        <v>1</v>
      </c>
      <c r="T746">
        <v>2</v>
      </c>
      <c r="U746">
        <v>12</v>
      </c>
      <c r="V746" t="s">
        <v>0</v>
      </c>
    </row>
    <row r="747" spans="1:22" x14ac:dyDescent="0.25">
      <c r="A747" t="s">
        <v>738</v>
      </c>
      <c r="B747">
        <v>2022</v>
      </c>
      <c r="C747" t="s">
        <v>311</v>
      </c>
      <c r="D747" t="s">
        <v>125</v>
      </c>
      <c r="E747" t="s">
        <v>27</v>
      </c>
      <c r="F747" t="s">
        <v>136</v>
      </c>
      <c r="G747" t="s">
        <v>25</v>
      </c>
      <c r="H747" t="s">
        <v>34</v>
      </c>
      <c r="I747" t="s">
        <v>14</v>
      </c>
      <c r="J747" t="s">
        <v>13</v>
      </c>
      <c r="K747">
        <v>0</v>
      </c>
      <c r="M747">
        <v>0.16</v>
      </c>
      <c r="N747" t="s">
        <v>737</v>
      </c>
      <c r="P747">
        <v>22920</v>
      </c>
      <c r="Q747">
        <v>1.64</v>
      </c>
      <c r="R747">
        <v>0.88</v>
      </c>
      <c r="S747" t="b">
        <v>0</v>
      </c>
      <c r="T747">
        <v>1</v>
      </c>
      <c r="U747">
        <v>11</v>
      </c>
      <c r="V747" t="s">
        <v>0</v>
      </c>
    </row>
    <row r="748" spans="1:22" x14ac:dyDescent="0.25">
      <c r="A748" t="s">
        <v>736</v>
      </c>
      <c r="B748">
        <v>2022</v>
      </c>
      <c r="C748" t="s">
        <v>176</v>
      </c>
      <c r="D748" t="s">
        <v>64</v>
      </c>
      <c r="E748" t="s">
        <v>86</v>
      </c>
      <c r="F748" t="s">
        <v>80</v>
      </c>
      <c r="G748" t="s">
        <v>16</v>
      </c>
      <c r="H748" t="s">
        <v>102</v>
      </c>
      <c r="I748" t="s">
        <v>97</v>
      </c>
      <c r="J748" t="s">
        <v>79</v>
      </c>
      <c r="K748">
        <v>0</v>
      </c>
      <c r="M748">
        <v>0.09</v>
      </c>
      <c r="N748" t="s">
        <v>735</v>
      </c>
      <c r="P748">
        <v>98063</v>
      </c>
      <c r="Q748">
        <v>-4.12</v>
      </c>
      <c r="R748">
        <v>0.68</v>
      </c>
      <c r="S748" t="b">
        <v>0</v>
      </c>
      <c r="T748">
        <v>2</v>
      </c>
      <c r="U748">
        <v>0</v>
      </c>
      <c r="V748" t="s">
        <v>46</v>
      </c>
    </row>
    <row r="749" spans="1:22" x14ac:dyDescent="0.25">
      <c r="A749" t="s">
        <v>734</v>
      </c>
      <c r="B749">
        <v>2022</v>
      </c>
      <c r="C749" t="s">
        <v>126</v>
      </c>
      <c r="D749" t="s">
        <v>125</v>
      </c>
      <c r="E749" t="s">
        <v>36</v>
      </c>
      <c r="F749" t="s">
        <v>136</v>
      </c>
      <c r="G749" t="s">
        <v>16</v>
      </c>
      <c r="H749" t="s">
        <v>49</v>
      </c>
      <c r="I749" t="s">
        <v>68</v>
      </c>
      <c r="J749" t="s">
        <v>2</v>
      </c>
      <c r="K749">
        <v>1</v>
      </c>
      <c r="L749" t="s">
        <v>732</v>
      </c>
      <c r="M749">
        <v>0.82</v>
      </c>
      <c r="N749" t="s">
        <v>733</v>
      </c>
      <c r="O749" t="s">
        <v>732</v>
      </c>
      <c r="P749">
        <v>29987</v>
      </c>
      <c r="Q749">
        <v>8.41</v>
      </c>
      <c r="R749">
        <v>0.15</v>
      </c>
      <c r="S749" t="b">
        <v>1</v>
      </c>
      <c r="T749">
        <v>1</v>
      </c>
      <c r="U749">
        <v>1</v>
      </c>
      <c r="V749" t="s">
        <v>46</v>
      </c>
    </row>
    <row r="750" spans="1:22" x14ac:dyDescent="0.25">
      <c r="A750" t="s">
        <v>731</v>
      </c>
      <c r="B750">
        <v>2022</v>
      </c>
      <c r="C750" t="s">
        <v>58</v>
      </c>
      <c r="D750" t="s">
        <v>57</v>
      </c>
      <c r="E750" t="s">
        <v>121</v>
      </c>
      <c r="F750" t="s">
        <v>35</v>
      </c>
      <c r="G750" t="s">
        <v>25</v>
      </c>
      <c r="H750" t="s">
        <v>4</v>
      </c>
      <c r="I750" t="s">
        <v>14</v>
      </c>
      <c r="J750" t="s">
        <v>73</v>
      </c>
      <c r="K750">
        <v>1</v>
      </c>
      <c r="L750" t="s">
        <v>729</v>
      </c>
      <c r="M750">
        <v>0.55000000000000004</v>
      </c>
      <c r="N750" t="s">
        <v>730</v>
      </c>
      <c r="O750" t="s">
        <v>729</v>
      </c>
      <c r="P750">
        <v>108418</v>
      </c>
      <c r="Q750">
        <v>16.399999999999999</v>
      </c>
      <c r="R750">
        <v>0.21</v>
      </c>
      <c r="S750" t="b">
        <v>1</v>
      </c>
      <c r="T750">
        <v>1</v>
      </c>
      <c r="U750">
        <v>2</v>
      </c>
      <c r="V750" t="s">
        <v>0</v>
      </c>
    </row>
    <row r="751" spans="1:22" x14ac:dyDescent="0.25">
      <c r="A751" t="s">
        <v>728</v>
      </c>
      <c r="B751">
        <v>2022</v>
      </c>
      <c r="C751" t="s">
        <v>358</v>
      </c>
      <c r="D751" t="s">
        <v>131</v>
      </c>
      <c r="E751" t="s">
        <v>7</v>
      </c>
      <c r="F751" t="s">
        <v>41</v>
      </c>
      <c r="G751" t="s">
        <v>5</v>
      </c>
      <c r="H751" t="s">
        <v>4</v>
      </c>
      <c r="I751" t="s">
        <v>24</v>
      </c>
      <c r="J751" t="s">
        <v>79</v>
      </c>
      <c r="K751">
        <v>1</v>
      </c>
      <c r="L751" t="s">
        <v>726</v>
      </c>
      <c r="M751">
        <v>0.9</v>
      </c>
      <c r="N751" t="s">
        <v>727</v>
      </c>
      <c r="O751" t="s">
        <v>726</v>
      </c>
      <c r="P751">
        <v>60811</v>
      </c>
      <c r="Q751">
        <v>6.34</v>
      </c>
      <c r="R751">
        <v>0.12</v>
      </c>
      <c r="S751" t="b">
        <v>1</v>
      </c>
      <c r="T751">
        <v>1</v>
      </c>
      <c r="U751">
        <v>10</v>
      </c>
      <c r="V751" t="s">
        <v>0</v>
      </c>
    </row>
    <row r="752" spans="1:22" x14ac:dyDescent="0.25">
      <c r="A752" t="s">
        <v>725</v>
      </c>
      <c r="B752">
        <v>2022</v>
      </c>
      <c r="C752" t="s">
        <v>298</v>
      </c>
      <c r="D752" t="s">
        <v>125</v>
      </c>
      <c r="E752" t="s">
        <v>56</v>
      </c>
      <c r="F752" t="s">
        <v>136</v>
      </c>
      <c r="G752" t="s">
        <v>135</v>
      </c>
      <c r="H752" t="s">
        <v>49</v>
      </c>
      <c r="I752" t="s">
        <v>40</v>
      </c>
      <c r="J752" t="s">
        <v>96</v>
      </c>
      <c r="K752">
        <v>0</v>
      </c>
      <c r="M752">
        <v>0.15</v>
      </c>
      <c r="N752" t="s">
        <v>724</v>
      </c>
      <c r="P752">
        <v>22853</v>
      </c>
      <c r="Q752">
        <v>2.13</v>
      </c>
      <c r="R752">
        <v>0.77</v>
      </c>
      <c r="S752" t="b">
        <v>0</v>
      </c>
      <c r="T752">
        <v>1</v>
      </c>
      <c r="U752">
        <v>8</v>
      </c>
      <c r="V752" t="s">
        <v>46</v>
      </c>
    </row>
    <row r="753" spans="1:22" x14ac:dyDescent="0.25">
      <c r="A753" s="1" t="s">
        <v>723</v>
      </c>
      <c r="B753">
        <v>2022</v>
      </c>
      <c r="C753" t="s">
        <v>148</v>
      </c>
      <c r="D753" t="s">
        <v>28</v>
      </c>
      <c r="E753" t="s">
        <v>36</v>
      </c>
      <c r="F753" t="s">
        <v>115</v>
      </c>
      <c r="G753" t="s">
        <v>5</v>
      </c>
      <c r="H753" t="s">
        <v>49</v>
      </c>
      <c r="I753" t="s">
        <v>3</v>
      </c>
      <c r="J753" t="s">
        <v>79</v>
      </c>
      <c r="K753">
        <v>1</v>
      </c>
      <c r="L753" t="s">
        <v>515</v>
      </c>
      <c r="M753">
        <v>0.41</v>
      </c>
      <c r="N753" t="s">
        <v>722</v>
      </c>
      <c r="O753" t="s">
        <v>515</v>
      </c>
      <c r="P753">
        <v>60806</v>
      </c>
      <c r="Q753">
        <v>10.050000000000001</v>
      </c>
      <c r="R753">
        <v>0.22</v>
      </c>
      <c r="S753" t="b">
        <v>1</v>
      </c>
      <c r="T753">
        <v>3</v>
      </c>
      <c r="U753">
        <v>6</v>
      </c>
      <c r="V753" t="s">
        <v>46</v>
      </c>
    </row>
    <row r="754" spans="1:22" x14ac:dyDescent="0.25">
      <c r="A754" t="s">
        <v>721</v>
      </c>
      <c r="B754">
        <v>2022</v>
      </c>
      <c r="C754" t="s">
        <v>407</v>
      </c>
      <c r="D754" t="s">
        <v>131</v>
      </c>
      <c r="E754" t="s">
        <v>86</v>
      </c>
      <c r="F754" t="s">
        <v>103</v>
      </c>
      <c r="G754" t="s">
        <v>62</v>
      </c>
      <c r="H754" t="s">
        <v>15</v>
      </c>
      <c r="I754" t="s">
        <v>74</v>
      </c>
      <c r="J754" t="s">
        <v>79</v>
      </c>
      <c r="K754">
        <v>1</v>
      </c>
      <c r="L754" t="s">
        <v>719</v>
      </c>
      <c r="M754">
        <v>0.74</v>
      </c>
      <c r="N754" t="s">
        <v>720</v>
      </c>
      <c r="O754" t="s">
        <v>719</v>
      </c>
      <c r="P754">
        <v>55990</v>
      </c>
      <c r="Q754">
        <v>10.54</v>
      </c>
      <c r="R754">
        <v>0.11</v>
      </c>
      <c r="S754" t="b">
        <v>1</v>
      </c>
      <c r="T754">
        <v>1</v>
      </c>
      <c r="U754">
        <v>15</v>
      </c>
      <c r="V754" t="s">
        <v>0</v>
      </c>
    </row>
    <row r="755" spans="1:22" x14ac:dyDescent="0.25">
      <c r="A755" t="s">
        <v>718</v>
      </c>
      <c r="B755">
        <v>2022</v>
      </c>
      <c r="C755" t="s">
        <v>176</v>
      </c>
      <c r="D755" t="s">
        <v>64</v>
      </c>
      <c r="E755" t="s">
        <v>182</v>
      </c>
      <c r="F755" t="s">
        <v>136</v>
      </c>
      <c r="G755" t="s">
        <v>135</v>
      </c>
      <c r="H755" t="s">
        <v>4</v>
      </c>
      <c r="I755" t="s">
        <v>24</v>
      </c>
      <c r="J755" t="s">
        <v>96</v>
      </c>
      <c r="K755">
        <v>0</v>
      </c>
      <c r="M755">
        <v>0.19</v>
      </c>
      <c r="N755" t="s">
        <v>717</v>
      </c>
      <c r="P755">
        <v>102947</v>
      </c>
      <c r="Q755">
        <v>2.52</v>
      </c>
      <c r="R755">
        <v>0.7</v>
      </c>
      <c r="S755" t="b">
        <v>0</v>
      </c>
      <c r="T755">
        <v>3</v>
      </c>
      <c r="U755">
        <v>0</v>
      </c>
      <c r="V755" t="s">
        <v>0</v>
      </c>
    </row>
    <row r="756" spans="1:22" x14ac:dyDescent="0.25">
      <c r="A756" t="s">
        <v>716</v>
      </c>
      <c r="B756">
        <v>2022</v>
      </c>
      <c r="C756" t="s">
        <v>287</v>
      </c>
      <c r="D756" t="s">
        <v>43</v>
      </c>
      <c r="E756" t="s">
        <v>121</v>
      </c>
      <c r="F756" t="s">
        <v>156</v>
      </c>
      <c r="G756" t="s">
        <v>5</v>
      </c>
      <c r="H756" t="s">
        <v>179</v>
      </c>
      <c r="I756" t="s">
        <v>74</v>
      </c>
      <c r="J756" t="s">
        <v>73</v>
      </c>
      <c r="K756">
        <v>1</v>
      </c>
      <c r="L756" t="s">
        <v>685</v>
      </c>
      <c r="M756">
        <v>0.69</v>
      </c>
      <c r="N756" t="s">
        <v>715</v>
      </c>
      <c r="O756" t="s">
        <v>685</v>
      </c>
      <c r="P756">
        <v>106804</v>
      </c>
      <c r="Q756">
        <v>14.05</v>
      </c>
      <c r="R756">
        <v>0.16</v>
      </c>
      <c r="S756" t="b">
        <v>1</v>
      </c>
      <c r="T756">
        <v>3</v>
      </c>
      <c r="U756">
        <v>4</v>
      </c>
      <c r="V756" t="s">
        <v>0</v>
      </c>
    </row>
    <row r="757" spans="1:22" x14ac:dyDescent="0.25">
      <c r="A757" t="s">
        <v>714</v>
      </c>
      <c r="B757">
        <v>2022</v>
      </c>
      <c r="C757" t="s">
        <v>51</v>
      </c>
      <c r="D757" t="s">
        <v>18</v>
      </c>
      <c r="E757" t="s">
        <v>121</v>
      </c>
      <c r="F757" t="s">
        <v>55</v>
      </c>
      <c r="G757" t="s">
        <v>25</v>
      </c>
      <c r="H757" t="s">
        <v>141</v>
      </c>
      <c r="I757" t="s">
        <v>33</v>
      </c>
      <c r="J757" t="s">
        <v>2</v>
      </c>
      <c r="K757">
        <v>0</v>
      </c>
      <c r="M757">
        <v>0.11</v>
      </c>
      <c r="N757" t="s">
        <v>713</v>
      </c>
      <c r="P757">
        <v>65014</v>
      </c>
      <c r="Q757">
        <v>3.37</v>
      </c>
      <c r="R757">
        <v>0.76</v>
      </c>
      <c r="S757" t="b">
        <v>0</v>
      </c>
      <c r="T757">
        <v>2</v>
      </c>
      <c r="U757">
        <v>3</v>
      </c>
      <c r="V757" t="s">
        <v>0</v>
      </c>
    </row>
    <row r="758" spans="1:22" x14ac:dyDescent="0.25">
      <c r="A758" t="s">
        <v>712</v>
      </c>
      <c r="B758">
        <v>2022</v>
      </c>
      <c r="C758" t="s">
        <v>98</v>
      </c>
      <c r="D758" t="s">
        <v>43</v>
      </c>
      <c r="E758" t="s">
        <v>182</v>
      </c>
      <c r="F758" t="s">
        <v>35</v>
      </c>
      <c r="G758" t="s">
        <v>25</v>
      </c>
      <c r="H758" t="s">
        <v>15</v>
      </c>
      <c r="I758" t="s">
        <v>90</v>
      </c>
      <c r="J758" t="s">
        <v>79</v>
      </c>
      <c r="K758">
        <v>1</v>
      </c>
      <c r="L758" t="s">
        <v>110</v>
      </c>
      <c r="M758">
        <v>0.76</v>
      </c>
      <c r="N758" t="s">
        <v>711</v>
      </c>
      <c r="O758" t="s">
        <v>110</v>
      </c>
      <c r="P758">
        <v>101993</v>
      </c>
      <c r="Q758">
        <v>12.38</v>
      </c>
      <c r="R758">
        <v>0.18</v>
      </c>
      <c r="S758" t="b">
        <v>1</v>
      </c>
      <c r="T758">
        <v>2</v>
      </c>
      <c r="U758">
        <v>8</v>
      </c>
      <c r="V758" t="s">
        <v>0</v>
      </c>
    </row>
    <row r="759" spans="1:22" x14ac:dyDescent="0.25">
      <c r="A759" t="s">
        <v>710</v>
      </c>
      <c r="B759">
        <v>2022</v>
      </c>
      <c r="C759" t="s">
        <v>245</v>
      </c>
      <c r="D759" t="s">
        <v>125</v>
      </c>
      <c r="E759" t="s">
        <v>182</v>
      </c>
      <c r="F759" t="s">
        <v>156</v>
      </c>
      <c r="G759" t="s">
        <v>62</v>
      </c>
      <c r="H759" t="s">
        <v>179</v>
      </c>
      <c r="I759" t="s">
        <v>107</v>
      </c>
      <c r="J759" t="s">
        <v>96</v>
      </c>
      <c r="K759">
        <v>1</v>
      </c>
      <c r="L759" t="s">
        <v>261</v>
      </c>
      <c r="M759">
        <v>0.94</v>
      </c>
      <c r="N759" t="s">
        <v>709</v>
      </c>
      <c r="O759" t="s">
        <v>261</v>
      </c>
      <c r="P759">
        <v>35878</v>
      </c>
      <c r="Q759">
        <v>10.71</v>
      </c>
      <c r="R759">
        <v>0.14000000000000001</v>
      </c>
      <c r="S759" t="b">
        <v>1</v>
      </c>
      <c r="T759">
        <v>1</v>
      </c>
      <c r="U759">
        <v>12</v>
      </c>
      <c r="V759" t="s">
        <v>0</v>
      </c>
    </row>
    <row r="760" spans="1:22" x14ac:dyDescent="0.25">
      <c r="A760" t="s">
        <v>708</v>
      </c>
      <c r="B760">
        <v>2022</v>
      </c>
      <c r="C760" t="s">
        <v>348</v>
      </c>
      <c r="D760" t="s">
        <v>64</v>
      </c>
      <c r="E760" t="s">
        <v>147</v>
      </c>
      <c r="F760" t="s">
        <v>55</v>
      </c>
      <c r="G760" t="s">
        <v>135</v>
      </c>
      <c r="H760" t="s">
        <v>34</v>
      </c>
      <c r="I760" t="s">
        <v>3</v>
      </c>
      <c r="J760" t="s">
        <v>23</v>
      </c>
      <c r="K760">
        <v>0</v>
      </c>
      <c r="M760">
        <v>0.12</v>
      </c>
      <c r="N760" t="s">
        <v>707</v>
      </c>
      <c r="P760">
        <v>108280</v>
      </c>
      <c r="Q760">
        <v>0.67</v>
      </c>
      <c r="R760">
        <v>0.9</v>
      </c>
      <c r="S760" t="b">
        <v>0</v>
      </c>
      <c r="T760">
        <v>2</v>
      </c>
      <c r="U760">
        <v>5</v>
      </c>
      <c r="V760" t="s">
        <v>0</v>
      </c>
    </row>
    <row r="761" spans="1:22" x14ac:dyDescent="0.25">
      <c r="A761" t="s">
        <v>706</v>
      </c>
      <c r="B761">
        <v>2022</v>
      </c>
      <c r="C761" t="s">
        <v>152</v>
      </c>
      <c r="D761" t="s">
        <v>28</v>
      </c>
      <c r="E761" t="s">
        <v>130</v>
      </c>
      <c r="F761" t="s">
        <v>136</v>
      </c>
      <c r="G761" t="s">
        <v>16</v>
      </c>
      <c r="H761" t="s">
        <v>15</v>
      </c>
      <c r="I761" t="s">
        <v>33</v>
      </c>
      <c r="J761" t="s">
        <v>73</v>
      </c>
      <c r="K761">
        <v>1</v>
      </c>
      <c r="L761" t="s">
        <v>704</v>
      </c>
      <c r="M761">
        <v>0.8</v>
      </c>
      <c r="N761" t="s">
        <v>705</v>
      </c>
      <c r="O761" t="s">
        <v>704</v>
      </c>
      <c r="P761">
        <v>74985</v>
      </c>
      <c r="Q761">
        <v>16.989999999999998</v>
      </c>
      <c r="R761">
        <v>0.33</v>
      </c>
      <c r="S761" t="b">
        <v>1</v>
      </c>
      <c r="T761">
        <v>2</v>
      </c>
      <c r="U761">
        <v>3</v>
      </c>
      <c r="V761" t="s">
        <v>0</v>
      </c>
    </row>
    <row r="762" spans="1:22" x14ac:dyDescent="0.25">
      <c r="A762" t="s">
        <v>703</v>
      </c>
      <c r="B762">
        <v>2022</v>
      </c>
      <c r="C762" t="s">
        <v>267</v>
      </c>
      <c r="D762" t="s">
        <v>43</v>
      </c>
      <c r="E762" t="s">
        <v>27</v>
      </c>
      <c r="F762" t="s">
        <v>26</v>
      </c>
      <c r="G762" t="s">
        <v>5</v>
      </c>
      <c r="H762" t="s">
        <v>85</v>
      </c>
      <c r="I762" t="s">
        <v>90</v>
      </c>
      <c r="J762" t="s">
        <v>23</v>
      </c>
      <c r="K762">
        <v>1</v>
      </c>
      <c r="L762" t="s">
        <v>346</v>
      </c>
      <c r="M762">
        <v>0.84</v>
      </c>
      <c r="N762" t="s">
        <v>702</v>
      </c>
      <c r="O762" t="s">
        <v>346</v>
      </c>
      <c r="P762">
        <v>100661</v>
      </c>
      <c r="Q762">
        <v>13.45</v>
      </c>
      <c r="R762">
        <v>0.28000000000000003</v>
      </c>
      <c r="S762" t="b">
        <v>1</v>
      </c>
      <c r="T762">
        <v>3</v>
      </c>
      <c r="U762">
        <v>9</v>
      </c>
      <c r="V762" t="s">
        <v>0</v>
      </c>
    </row>
    <row r="763" spans="1:22" x14ac:dyDescent="0.25">
      <c r="A763" t="s">
        <v>701</v>
      </c>
      <c r="B763">
        <v>2022</v>
      </c>
      <c r="C763" t="s">
        <v>171</v>
      </c>
      <c r="D763" t="s">
        <v>57</v>
      </c>
      <c r="E763" t="s">
        <v>147</v>
      </c>
      <c r="F763" t="s">
        <v>103</v>
      </c>
      <c r="G763" t="s">
        <v>16</v>
      </c>
      <c r="H763" t="s">
        <v>102</v>
      </c>
      <c r="I763" t="s">
        <v>24</v>
      </c>
      <c r="J763" t="s">
        <v>2</v>
      </c>
      <c r="K763">
        <v>1</v>
      </c>
      <c r="L763" t="s">
        <v>699</v>
      </c>
      <c r="M763">
        <v>0.54</v>
      </c>
      <c r="N763" t="s">
        <v>700</v>
      </c>
      <c r="O763" t="s">
        <v>699</v>
      </c>
      <c r="P763">
        <v>127946</v>
      </c>
      <c r="Q763">
        <v>10.71</v>
      </c>
      <c r="R763">
        <v>0.3</v>
      </c>
      <c r="S763" t="b">
        <v>1</v>
      </c>
      <c r="T763">
        <v>2</v>
      </c>
      <c r="U763">
        <v>9</v>
      </c>
      <c r="V763" t="s">
        <v>46</v>
      </c>
    </row>
    <row r="764" spans="1:22" x14ac:dyDescent="0.25">
      <c r="A764" t="s">
        <v>698</v>
      </c>
      <c r="B764">
        <v>2022</v>
      </c>
      <c r="C764" t="s">
        <v>413</v>
      </c>
      <c r="D764" t="s">
        <v>8</v>
      </c>
      <c r="E764" t="s">
        <v>36</v>
      </c>
      <c r="F764" t="s">
        <v>156</v>
      </c>
      <c r="G764" t="s">
        <v>135</v>
      </c>
      <c r="H764" t="s">
        <v>102</v>
      </c>
      <c r="I764" t="s">
        <v>14</v>
      </c>
      <c r="J764" t="s">
        <v>13</v>
      </c>
      <c r="K764">
        <v>1</v>
      </c>
      <c r="L764" t="s">
        <v>346</v>
      </c>
      <c r="M764">
        <v>0.93</v>
      </c>
      <c r="N764" t="s">
        <v>697</v>
      </c>
      <c r="O764" t="s">
        <v>346</v>
      </c>
      <c r="P764">
        <v>43704</v>
      </c>
      <c r="Q764">
        <v>12.35</v>
      </c>
      <c r="R764">
        <v>0.4</v>
      </c>
      <c r="S764" t="b">
        <v>1</v>
      </c>
      <c r="T764">
        <v>3</v>
      </c>
      <c r="U764">
        <v>9</v>
      </c>
      <c r="V764" t="s">
        <v>46</v>
      </c>
    </row>
    <row r="765" spans="1:22" x14ac:dyDescent="0.25">
      <c r="A765" t="s">
        <v>696</v>
      </c>
      <c r="B765">
        <v>2022</v>
      </c>
      <c r="C765" t="s">
        <v>92</v>
      </c>
      <c r="D765" t="s">
        <v>91</v>
      </c>
      <c r="E765" t="s">
        <v>219</v>
      </c>
      <c r="F765" t="s">
        <v>75</v>
      </c>
      <c r="G765" t="s">
        <v>135</v>
      </c>
      <c r="H765" t="s">
        <v>85</v>
      </c>
      <c r="I765" t="s">
        <v>40</v>
      </c>
      <c r="J765" t="s">
        <v>73</v>
      </c>
      <c r="K765">
        <v>1</v>
      </c>
      <c r="L765" t="s">
        <v>694</v>
      </c>
      <c r="M765">
        <v>0.55000000000000004</v>
      </c>
      <c r="N765" t="s">
        <v>695</v>
      </c>
      <c r="O765" t="s">
        <v>694</v>
      </c>
      <c r="P765">
        <v>86609</v>
      </c>
      <c r="Q765">
        <v>17.73</v>
      </c>
      <c r="R765">
        <v>0.18</v>
      </c>
      <c r="S765" t="b">
        <v>1</v>
      </c>
      <c r="T765">
        <v>3</v>
      </c>
      <c r="U765">
        <v>5</v>
      </c>
      <c r="V765" t="s">
        <v>0</v>
      </c>
    </row>
    <row r="766" spans="1:22" x14ac:dyDescent="0.25">
      <c r="A766" t="s">
        <v>693</v>
      </c>
      <c r="B766">
        <v>2022</v>
      </c>
      <c r="C766" t="s">
        <v>348</v>
      </c>
      <c r="D766" t="s">
        <v>64</v>
      </c>
      <c r="E766" t="s">
        <v>42</v>
      </c>
      <c r="F766" t="s">
        <v>75</v>
      </c>
      <c r="G766" t="s">
        <v>25</v>
      </c>
      <c r="H766" t="s">
        <v>4</v>
      </c>
      <c r="I766" t="s">
        <v>14</v>
      </c>
      <c r="J766" t="s">
        <v>2</v>
      </c>
      <c r="K766">
        <v>1</v>
      </c>
      <c r="L766" t="s">
        <v>691</v>
      </c>
      <c r="M766">
        <v>0.51</v>
      </c>
      <c r="N766" t="s">
        <v>692</v>
      </c>
      <c r="O766" t="s">
        <v>691</v>
      </c>
      <c r="P766">
        <v>141262</v>
      </c>
      <c r="Q766">
        <v>11.55</v>
      </c>
      <c r="R766">
        <v>0.35</v>
      </c>
      <c r="S766" t="b">
        <v>1</v>
      </c>
      <c r="T766">
        <v>3</v>
      </c>
      <c r="U766">
        <v>5</v>
      </c>
      <c r="V766" t="s">
        <v>0</v>
      </c>
    </row>
    <row r="767" spans="1:22" x14ac:dyDescent="0.25">
      <c r="A767" t="s">
        <v>690</v>
      </c>
      <c r="B767">
        <v>2022</v>
      </c>
      <c r="C767" t="s">
        <v>281</v>
      </c>
      <c r="D767" t="s">
        <v>91</v>
      </c>
      <c r="E767" t="s">
        <v>56</v>
      </c>
      <c r="F767" t="s">
        <v>6</v>
      </c>
      <c r="G767" t="s">
        <v>135</v>
      </c>
      <c r="H767" t="s">
        <v>102</v>
      </c>
      <c r="I767" t="s">
        <v>40</v>
      </c>
      <c r="J767" t="s">
        <v>79</v>
      </c>
      <c r="K767">
        <v>1</v>
      </c>
      <c r="L767" t="s">
        <v>688</v>
      </c>
      <c r="M767">
        <v>0.47</v>
      </c>
      <c r="N767" t="s">
        <v>689</v>
      </c>
      <c r="O767" t="s">
        <v>688</v>
      </c>
      <c r="P767">
        <v>90434</v>
      </c>
      <c r="Q767">
        <v>17.48</v>
      </c>
      <c r="R767">
        <v>0.39</v>
      </c>
      <c r="S767" t="b">
        <v>1</v>
      </c>
      <c r="T767">
        <v>1</v>
      </c>
      <c r="U767">
        <v>9</v>
      </c>
      <c r="V767" t="s">
        <v>46</v>
      </c>
    </row>
    <row r="768" spans="1:22" x14ac:dyDescent="0.25">
      <c r="A768" s="1" t="s">
        <v>687</v>
      </c>
      <c r="B768">
        <v>2022</v>
      </c>
      <c r="C768" t="s">
        <v>316</v>
      </c>
      <c r="D768" t="s">
        <v>43</v>
      </c>
      <c r="E768" t="s">
        <v>147</v>
      </c>
      <c r="F768" t="s">
        <v>156</v>
      </c>
      <c r="G768" t="s">
        <v>16</v>
      </c>
      <c r="H768" t="s">
        <v>141</v>
      </c>
      <c r="I768" t="s">
        <v>68</v>
      </c>
      <c r="J768" t="s">
        <v>23</v>
      </c>
      <c r="K768">
        <v>1</v>
      </c>
      <c r="L768" t="s">
        <v>685</v>
      </c>
      <c r="M768">
        <v>0.5</v>
      </c>
      <c r="N768" t="s">
        <v>686</v>
      </c>
      <c r="O768" t="s">
        <v>685</v>
      </c>
      <c r="P768">
        <v>122697</v>
      </c>
      <c r="Q768">
        <v>14.38</v>
      </c>
      <c r="R768">
        <v>0.32</v>
      </c>
      <c r="S768" t="b">
        <v>1</v>
      </c>
      <c r="T768">
        <v>2</v>
      </c>
      <c r="U768">
        <v>18</v>
      </c>
      <c r="V768" t="s">
        <v>0</v>
      </c>
    </row>
    <row r="769" spans="1:22" x14ac:dyDescent="0.25">
      <c r="A769" t="s">
        <v>684</v>
      </c>
      <c r="B769">
        <v>2022</v>
      </c>
      <c r="C769" t="s">
        <v>164</v>
      </c>
      <c r="D769" t="s">
        <v>8</v>
      </c>
      <c r="E769" t="s">
        <v>86</v>
      </c>
      <c r="F769" t="s">
        <v>103</v>
      </c>
      <c r="G769" t="s">
        <v>5</v>
      </c>
      <c r="H769" t="s">
        <v>34</v>
      </c>
      <c r="I769" t="s">
        <v>33</v>
      </c>
      <c r="J769" t="s">
        <v>79</v>
      </c>
      <c r="K769">
        <v>1</v>
      </c>
      <c r="L769" t="s">
        <v>682</v>
      </c>
      <c r="M769">
        <v>0.91</v>
      </c>
      <c r="N769" t="s">
        <v>683</v>
      </c>
      <c r="O769" t="s">
        <v>682</v>
      </c>
      <c r="P769">
        <v>34397</v>
      </c>
      <c r="Q769">
        <v>8.75</v>
      </c>
      <c r="R769">
        <v>0.26</v>
      </c>
      <c r="S769" t="b">
        <v>1</v>
      </c>
      <c r="T769">
        <v>1</v>
      </c>
      <c r="U769">
        <v>4</v>
      </c>
      <c r="V769" t="s">
        <v>0</v>
      </c>
    </row>
    <row r="770" spans="1:22" x14ac:dyDescent="0.25">
      <c r="A770" t="s">
        <v>681</v>
      </c>
      <c r="B770">
        <v>2022</v>
      </c>
      <c r="C770" t="s">
        <v>407</v>
      </c>
      <c r="D770" t="s">
        <v>131</v>
      </c>
      <c r="E770" t="s">
        <v>7</v>
      </c>
      <c r="F770" t="s">
        <v>55</v>
      </c>
      <c r="G770" t="s">
        <v>135</v>
      </c>
      <c r="H770" t="s">
        <v>34</v>
      </c>
      <c r="I770" t="s">
        <v>68</v>
      </c>
      <c r="J770" t="s">
        <v>13</v>
      </c>
      <c r="K770">
        <v>0</v>
      </c>
      <c r="M770">
        <v>0.12</v>
      </c>
      <c r="N770" t="s">
        <v>680</v>
      </c>
      <c r="P770">
        <v>36205</v>
      </c>
      <c r="Q770">
        <v>4.6900000000000004</v>
      </c>
      <c r="R770">
        <v>0.75</v>
      </c>
      <c r="S770" t="b">
        <v>0</v>
      </c>
      <c r="T770">
        <v>1</v>
      </c>
      <c r="U770">
        <v>16</v>
      </c>
      <c r="V770" t="s">
        <v>0</v>
      </c>
    </row>
    <row r="771" spans="1:22" x14ac:dyDescent="0.25">
      <c r="A771" t="s">
        <v>679</v>
      </c>
      <c r="B771">
        <v>2022</v>
      </c>
      <c r="C771" t="s">
        <v>407</v>
      </c>
      <c r="D771" t="s">
        <v>131</v>
      </c>
      <c r="E771" t="s">
        <v>86</v>
      </c>
      <c r="F771" t="s">
        <v>35</v>
      </c>
      <c r="G771" t="s">
        <v>62</v>
      </c>
      <c r="H771" t="s">
        <v>102</v>
      </c>
      <c r="I771" t="s">
        <v>40</v>
      </c>
      <c r="J771" t="s">
        <v>73</v>
      </c>
      <c r="K771">
        <v>1</v>
      </c>
      <c r="L771" t="s">
        <v>677</v>
      </c>
      <c r="M771">
        <v>0.87</v>
      </c>
      <c r="N771" t="s">
        <v>678</v>
      </c>
      <c r="O771" t="s">
        <v>677</v>
      </c>
      <c r="P771">
        <v>61988</v>
      </c>
      <c r="Q771">
        <v>10.29</v>
      </c>
      <c r="R771">
        <v>0.2</v>
      </c>
      <c r="S771" t="b">
        <v>1</v>
      </c>
      <c r="T771">
        <v>2</v>
      </c>
      <c r="U771">
        <v>16</v>
      </c>
      <c r="V771" t="s">
        <v>46</v>
      </c>
    </row>
    <row r="772" spans="1:22" x14ac:dyDescent="0.25">
      <c r="A772" t="s">
        <v>676</v>
      </c>
      <c r="B772">
        <v>2022</v>
      </c>
      <c r="C772" t="s">
        <v>117</v>
      </c>
      <c r="D772" t="s">
        <v>91</v>
      </c>
      <c r="E772" t="s">
        <v>219</v>
      </c>
      <c r="F772" t="s">
        <v>108</v>
      </c>
      <c r="G772" t="s">
        <v>16</v>
      </c>
      <c r="H772" t="s">
        <v>61</v>
      </c>
      <c r="I772" t="s">
        <v>97</v>
      </c>
      <c r="J772" t="s">
        <v>23</v>
      </c>
      <c r="K772">
        <v>1</v>
      </c>
      <c r="L772" t="s">
        <v>674</v>
      </c>
      <c r="M772">
        <v>0.41</v>
      </c>
      <c r="N772" t="s">
        <v>675</v>
      </c>
      <c r="O772" t="s">
        <v>674</v>
      </c>
      <c r="P772">
        <v>99530</v>
      </c>
      <c r="Q772">
        <v>14.91</v>
      </c>
      <c r="R772">
        <v>0.12</v>
      </c>
      <c r="S772" t="b">
        <v>1</v>
      </c>
      <c r="T772">
        <v>2</v>
      </c>
      <c r="U772">
        <v>14</v>
      </c>
      <c r="V772" t="s">
        <v>0</v>
      </c>
    </row>
    <row r="773" spans="1:22" x14ac:dyDescent="0.25">
      <c r="A773" t="s">
        <v>673</v>
      </c>
      <c r="B773">
        <v>2022</v>
      </c>
      <c r="C773" t="s">
        <v>215</v>
      </c>
      <c r="D773" t="s">
        <v>91</v>
      </c>
      <c r="E773" t="s">
        <v>116</v>
      </c>
      <c r="F773" t="s">
        <v>80</v>
      </c>
      <c r="G773" t="s">
        <v>16</v>
      </c>
      <c r="H773" t="s">
        <v>141</v>
      </c>
      <c r="I773" t="s">
        <v>68</v>
      </c>
      <c r="J773" t="s">
        <v>96</v>
      </c>
      <c r="K773">
        <v>1</v>
      </c>
      <c r="L773" t="s">
        <v>671</v>
      </c>
      <c r="M773">
        <v>0.42</v>
      </c>
      <c r="N773" t="s">
        <v>672</v>
      </c>
      <c r="O773" t="s">
        <v>671</v>
      </c>
      <c r="P773">
        <v>94841</v>
      </c>
      <c r="Q773">
        <v>16.78</v>
      </c>
      <c r="R773">
        <v>0.24</v>
      </c>
      <c r="S773" t="b">
        <v>1</v>
      </c>
      <c r="T773">
        <v>1</v>
      </c>
      <c r="U773">
        <v>19</v>
      </c>
      <c r="V773" t="s">
        <v>0</v>
      </c>
    </row>
    <row r="774" spans="1:22" x14ac:dyDescent="0.25">
      <c r="A774" t="s">
        <v>670</v>
      </c>
      <c r="B774">
        <v>2022</v>
      </c>
      <c r="C774" t="s">
        <v>92</v>
      </c>
      <c r="D774" t="s">
        <v>91</v>
      </c>
      <c r="E774" t="s">
        <v>7</v>
      </c>
      <c r="F774" t="s">
        <v>103</v>
      </c>
      <c r="G774" t="s">
        <v>5</v>
      </c>
      <c r="H774" t="s">
        <v>141</v>
      </c>
      <c r="I774" t="s">
        <v>3</v>
      </c>
      <c r="J774" t="s">
        <v>13</v>
      </c>
      <c r="K774">
        <v>1</v>
      </c>
      <c r="L774" t="s">
        <v>276</v>
      </c>
      <c r="M774">
        <v>0.65</v>
      </c>
      <c r="N774" t="s">
        <v>669</v>
      </c>
      <c r="O774" t="s">
        <v>276</v>
      </c>
      <c r="P774">
        <v>109218</v>
      </c>
      <c r="Q774">
        <v>12.59</v>
      </c>
      <c r="R774">
        <v>0.18</v>
      </c>
      <c r="S774" t="b">
        <v>1</v>
      </c>
      <c r="T774">
        <v>1</v>
      </c>
      <c r="U774">
        <v>4</v>
      </c>
      <c r="V774" t="s">
        <v>0</v>
      </c>
    </row>
    <row r="775" spans="1:22" x14ac:dyDescent="0.25">
      <c r="A775" t="s">
        <v>668</v>
      </c>
      <c r="B775">
        <v>2022</v>
      </c>
      <c r="C775" t="s">
        <v>19</v>
      </c>
      <c r="D775" t="s">
        <v>18</v>
      </c>
      <c r="E775" t="s">
        <v>42</v>
      </c>
      <c r="F775" t="s">
        <v>6</v>
      </c>
      <c r="G775" t="s">
        <v>62</v>
      </c>
      <c r="H775" t="s">
        <v>4</v>
      </c>
      <c r="I775" t="s">
        <v>107</v>
      </c>
      <c r="J775" t="s">
        <v>23</v>
      </c>
      <c r="K775">
        <v>0</v>
      </c>
      <c r="M775">
        <v>7.0000000000000007E-2</v>
      </c>
      <c r="N775" t="s">
        <v>667</v>
      </c>
      <c r="P775">
        <v>70101</v>
      </c>
      <c r="Q775">
        <v>3.73</v>
      </c>
      <c r="R775">
        <v>0.66</v>
      </c>
      <c r="S775" t="b">
        <v>0</v>
      </c>
      <c r="T775">
        <v>1</v>
      </c>
      <c r="U775">
        <v>15</v>
      </c>
      <c r="V775" t="s">
        <v>0</v>
      </c>
    </row>
    <row r="776" spans="1:22" x14ac:dyDescent="0.25">
      <c r="A776" t="s">
        <v>666</v>
      </c>
      <c r="B776">
        <v>2022</v>
      </c>
      <c r="C776" t="s">
        <v>148</v>
      </c>
      <c r="D776" t="s">
        <v>28</v>
      </c>
      <c r="E776" t="s">
        <v>36</v>
      </c>
      <c r="F776" t="s">
        <v>63</v>
      </c>
      <c r="G776" t="s">
        <v>62</v>
      </c>
      <c r="H776" t="s">
        <v>61</v>
      </c>
      <c r="I776" t="s">
        <v>14</v>
      </c>
      <c r="J776" t="s">
        <v>73</v>
      </c>
      <c r="K776">
        <v>1</v>
      </c>
      <c r="L776" t="s">
        <v>169</v>
      </c>
      <c r="M776">
        <v>0.41</v>
      </c>
      <c r="N776" t="s">
        <v>665</v>
      </c>
      <c r="O776" t="s">
        <v>169</v>
      </c>
      <c r="P776">
        <v>66278</v>
      </c>
      <c r="Q776">
        <v>10.54</v>
      </c>
      <c r="R776">
        <v>0.3</v>
      </c>
      <c r="S776" t="b">
        <v>1</v>
      </c>
      <c r="T776">
        <v>2</v>
      </c>
      <c r="U776">
        <v>17</v>
      </c>
      <c r="V776" t="s">
        <v>0</v>
      </c>
    </row>
    <row r="777" spans="1:22" x14ac:dyDescent="0.25">
      <c r="A777" t="s">
        <v>664</v>
      </c>
      <c r="B777">
        <v>2022</v>
      </c>
      <c r="C777" t="s">
        <v>176</v>
      </c>
      <c r="D777" t="s">
        <v>64</v>
      </c>
      <c r="E777" t="s">
        <v>56</v>
      </c>
      <c r="F777" t="s">
        <v>26</v>
      </c>
      <c r="G777" t="s">
        <v>25</v>
      </c>
      <c r="H777" t="s">
        <v>85</v>
      </c>
      <c r="I777" t="s">
        <v>40</v>
      </c>
      <c r="J777" t="s">
        <v>23</v>
      </c>
      <c r="K777">
        <v>1</v>
      </c>
      <c r="L777" t="s">
        <v>240</v>
      </c>
      <c r="M777">
        <v>0.55000000000000004</v>
      </c>
      <c r="N777" t="s">
        <v>663</v>
      </c>
      <c r="O777" t="s">
        <v>240</v>
      </c>
      <c r="P777">
        <v>153069</v>
      </c>
      <c r="Q777">
        <v>8.07</v>
      </c>
      <c r="R777">
        <v>0.16</v>
      </c>
      <c r="S777" t="b">
        <v>1</v>
      </c>
      <c r="T777">
        <v>3</v>
      </c>
      <c r="U777">
        <v>16</v>
      </c>
      <c r="V777" t="s">
        <v>0</v>
      </c>
    </row>
    <row r="778" spans="1:22" x14ac:dyDescent="0.25">
      <c r="A778" t="s">
        <v>662</v>
      </c>
      <c r="B778">
        <v>2022</v>
      </c>
      <c r="C778" t="s">
        <v>44</v>
      </c>
      <c r="D778" t="s">
        <v>43</v>
      </c>
      <c r="E778" t="s">
        <v>182</v>
      </c>
      <c r="F778" t="s">
        <v>112</v>
      </c>
      <c r="G778" t="s">
        <v>5</v>
      </c>
      <c r="H778" t="s">
        <v>15</v>
      </c>
      <c r="I778" t="s">
        <v>90</v>
      </c>
      <c r="J778" t="s">
        <v>23</v>
      </c>
      <c r="K778">
        <v>1</v>
      </c>
      <c r="L778" t="s">
        <v>621</v>
      </c>
      <c r="M778">
        <v>0.65</v>
      </c>
      <c r="N778" t="s">
        <v>661</v>
      </c>
      <c r="O778" t="s">
        <v>621</v>
      </c>
      <c r="P778">
        <v>110142</v>
      </c>
      <c r="Q778">
        <v>6.01</v>
      </c>
      <c r="R778">
        <v>0.28000000000000003</v>
      </c>
      <c r="S778" t="b">
        <v>1</v>
      </c>
      <c r="T778">
        <v>2</v>
      </c>
      <c r="U778">
        <v>16</v>
      </c>
      <c r="V778" t="s">
        <v>0</v>
      </c>
    </row>
    <row r="779" spans="1:22" x14ac:dyDescent="0.25">
      <c r="A779" t="s">
        <v>660</v>
      </c>
      <c r="B779">
        <v>2022</v>
      </c>
      <c r="C779" t="s">
        <v>98</v>
      </c>
      <c r="D779" t="s">
        <v>43</v>
      </c>
      <c r="E779" t="s">
        <v>116</v>
      </c>
      <c r="F779" t="s">
        <v>26</v>
      </c>
      <c r="G779" t="s">
        <v>25</v>
      </c>
      <c r="H779" t="s">
        <v>4</v>
      </c>
      <c r="I779" t="s">
        <v>107</v>
      </c>
      <c r="J779" t="s">
        <v>73</v>
      </c>
      <c r="K779">
        <v>1</v>
      </c>
      <c r="L779" t="s">
        <v>658</v>
      </c>
      <c r="M779">
        <v>0.69</v>
      </c>
      <c r="N779" t="s">
        <v>659</v>
      </c>
      <c r="O779" t="s">
        <v>658</v>
      </c>
      <c r="P779">
        <v>123893</v>
      </c>
      <c r="Q779">
        <v>9.81</v>
      </c>
      <c r="R779">
        <v>0.17</v>
      </c>
      <c r="S779" t="b">
        <v>1</v>
      </c>
      <c r="T779">
        <v>2</v>
      </c>
      <c r="U779">
        <v>17</v>
      </c>
      <c r="V779" t="s">
        <v>0</v>
      </c>
    </row>
    <row r="780" spans="1:22" x14ac:dyDescent="0.25">
      <c r="A780" t="s">
        <v>657</v>
      </c>
      <c r="B780">
        <v>2022</v>
      </c>
      <c r="C780" t="s">
        <v>126</v>
      </c>
      <c r="D780" t="s">
        <v>125</v>
      </c>
      <c r="E780" t="s">
        <v>42</v>
      </c>
      <c r="F780" t="s">
        <v>156</v>
      </c>
      <c r="G780" t="s">
        <v>135</v>
      </c>
      <c r="H780" t="s">
        <v>85</v>
      </c>
      <c r="I780" t="s">
        <v>74</v>
      </c>
      <c r="J780" t="s">
        <v>79</v>
      </c>
      <c r="K780">
        <v>0</v>
      </c>
      <c r="M780">
        <v>0.11</v>
      </c>
      <c r="N780" t="s">
        <v>656</v>
      </c>
      <c r="P780">
        <v>22725</v>
      </c>
      <c r="Q780">
        <v>-2.46</v>
      </c>
      <c r="R780">
        <v>0.84</v>
      </c>
      <c r="S780" t="b">
        <v>0</v>
      </c>
      <c r="T780">
        <v>1</v>
      </c>
      <c r="U780">
        <v>10</v>
      </c>
      <c r="V780" t="s">
        <v>0</v>
      </c>
    </row>
    <row r="781" spans="1:22" x14ac:dyDescent="0.25">
      <c r="A781" t="s">
        <v>655</v>
      </c>
      <c r="B781">
        <v>2022</v>
      </c>
      <c r="C781" t="s">
        <v>19</v>
      </c>
      <c r="D781" t="s">
        <v>18</v>
      </c>
      <c r="E781" t="s">
        <v>116</v>
      </c>
      <c r="F781" t="s">
        <v>75</v>
      </c>
      <c r="G781" t="s">
        <v>25</v>
      </c>
      <c r="H781" t="s">
        <v>61</v>
      </c>
      <c r="I781" t="s">
        <v>97</v>
      </c>
      <c r="J781" t="s">
        <v>2</v>
      </c>
      <c r="K781">
        <v>1</v>
      </c>
      <c r="L781" t="s">
        <v>653</v>
      </c>
      <c r="M781">
        <v>0.65</v>
      </c>
      <c r="N781" t="s">
        <v>654</v>
      </c>
      <c r="O781" t="s">
        <v>653</v>
      </c>
      <c r="P781">
        <v>98826</v>
      </c>
      <c r="Q781">
        <v>5.84</v>
      </c>
      <c r="R781">
        <v>0.1</v>
      </c>
      <c r="S781" t="b">
        <v>1</v>
      </c>
      <c r="T781">
        <v>3</v>
      </c>
      <c r="U781">
        <v>17</v>
      </c>
      <c r="V781" t="s">
        <v>0</v>
      </c>
    </row>
    <row r="782" spans="1:22" x14ac:dyDescent="0.25">
      <c r="A782" t="s">
        <v>652</v>
      </c>
      <c r="B782">
        <v>2022</v>
      </c>
      <c r="C782" t="s">
        <v>58</v>
      </c>
      <c r="D782" t="s">
        <v>57</v>
      </c>
      <c r="E782" t="s">
        <v>56</v>
      </c>
      <c r="F782" t="s">
        <v>80</v>
      </c>
      <c r="G782" t="s">
        <v>16</v>
      </c>
      <c r="H782" t="s">
        <v>179</v>
      </c>
      <c r="I782" t="s">
        <v>97</v>
      </c>
      <c r="J782" t="s">
        <v>73</v>
      </c>
      <c r="K782">
        <v>0</v>
      </c>
      <c r="M782">
        <v>7.0000000000000007E-2</v>
      </c>
      <c r="N782" t="s">
        <v>651</v>
      </c>
      <c r="P782">
        <v>100497</v>
      </c>
      <c r="Q782">
        <v>2.5</v>
      </c>
      <c r="R782">
        <v>0.75</v>
      </c>
      <c r="S782" t="b">
        <v>0</v>
      </c>
      <c r="T782">
        <v>1</v>
      </c>
      <c r="U782">
        <v>18</v>
      </c>
      <c r="V782" t="s">
        <v>0</v>
      </c>
    </row>
    <row r="783" spans="1:22" x14ac:dyDescent="0.25">
      <c r="A783" t="s">
        <v>650</v>
      </c>
      <c r="B783">
        <v>2022</v>
      </c>
      <c r="C783" t="s">
        <v>407</v>
      </c>
      <c r="D783" t="s">
        <v>131</v>
      </c>
      <c r="E783" t="s">
        <v>130</v>
      </c>
      <c r="F783" t="s">
        <v>103</v>
      </c>
      <c r="G783" t="s">
        <v>135</v>
      </c>
      <c r="H783" t="s">
        <v>34</v>
      </c>
      <c r="I783" t="s">
        <v>33</v>
      </c>
      <c r="J783" t="s">
        <v>79</v>
      </c>
      <c r="K783">
        <v>0</v>
      </c>
      <c r="M783">
        <v>0.13</v>
      </c>
      <c r="N783" t="s">
        <v>649</v>
      </c>
      <c r="P783">
        <v>42985</v>
      </c>
      <c r="Q783">
        <v>-3.34</v>
      </c>
      <c r="R783">
        <v>0.65</v>
      </c>
      <c r="S783" t="b">
        <v>0</v>
      </c>
      <c r="T783">
        <v>3</v>
      </c>
      <c r="U783">
        <v>12</v>
      </c>
      <c r="V783" t="s">
        <v>0</v>
      </c>
    </row>
    <row r="784" spans="1:22" x14ac:dyDescent="0.25">
      <c r="A784" t="s">
        <v>648</v>
      </c>
      <c r="B784">
        <v>2022</v>
      </c>
      <c r="C784" t="s">
        <v>176</v>
      </c>
      <c r="D784" t="s">
        <v>64</v>
      </c>
      <c r="E784" t="s">
        <v>50</v>
      </c>
      <c r="F784" t="s">
        <v>6</v>
      </c>
      <c r="G784" t="s">
        <v>62</v>
      </c>
      <c r="H784" t="s">
        <v>34</v>
      </c>
      <c r="I784" t="s">
        <v>3</v>
      </c>
      <c r="J784" t="s">
        <v>13</v>
      </c>
      <c r="K784">
        <v>1</v>
      </c>
      <c r="L784" t="s">
        <v>47</v>
      </c>
      <c r="M784">
        <v>0.49</v>
      </c>
      <c r="N784" t="s">
        <v>647</v>
      </c>
      <c r="O784" t="s">
        <v>47</v>
      </c>
      <c r="P784">
        <v>146365</v>
      </c>
      <c r="Q784">
        <v>8.6199999999999992</v>
      </c>
      <c r="R784">
        <v>0.36</v>
      </c>
      <c r="S784" t="b">
        <v>1</v>
      </c>
      <c r="T784">
        <v>1</v>
      </c>
      <c r="U784">
        <v>8</v>
      </c>
      <c r="V784" t="s">
        <v>0</v>
      </c>
    </row>
    <row r="785" spans="1:22" x14ac:dyDescent="0.25">
      <c r="A785" t="s">
        <v>646</v>
      </c>
      <c r="B785">
        <v>2022</v>
      </c>
      <c r="C785" t="s">
        <v>413</v>
      </c>
      <c r="D785" t="s">
        <v>8</v>
      </c>
      <c r="E785" t="s">
        <v>56</v>
      </c>
      <c r="F785" t="s">
        <v>26</v>
      </c>
      <c r="G785" t="s">
        <v>5</v>
      </c>
      <c r="H785" t="s">
        <v>85</v>
      </c>
      <c r="I785" t="s">
        <v>107</v>
      </c>
      <c r="J785" t="s">
        <v>79</v>
      </c>
      <c r="K785">
        <v>0</v>
      </c>
      <c r="M785">
        <v>0.11</v>
      </c>
      <c r="N785" t="s">
        <v>645</v>
      </c>
      <c r="P785">
        <v>25819</v>
      </c>
      <c r="Q785">
        <v>-4.47</v>
      </c>
      <c r="R785">
        <v>0.84</v>
      </c>
      <c r="S785" t="b">
        <v>0</v>
      </c>
      <c r="T785">
        <v>1</v>
      </c>
      <c r="U785">
        <v>18</v>
      </c>
      <c r="V785" t="s">
        <v>0</v>
      </c>
    </row>
    <row r="786" spans="1:22" x14ac:dyDescent="0.25">
      <c r="A786" t="s">
        <v>644</v>
      </c>
      <c r="B786">
        <v>2022</v>
      </c>
      <c r="C786" t="s">
        <v>233</v>
      </c>
      <c r="D786" t="s">
        <v>125</v>
      </c>
      <c r="E786" t="s">
        <v>56</v>
      </c>
      <c r="F786" t="s">
        <v>80</v>
      </c>
      <c r="G786" t="s">
        <v>25</v>
      </c>
      <c r="H786" t="s">
        <v>4</v>
      </c>
      <c r="I786" t="s">
        <v>14</v>
      </c>
      <c r="J786" t="s">
        <v>2</v>
      </c>
      <c r="K786">
        <v>0</v>
      </c>
      <c r="M786">
        <v>0.1</v>
      </c>
      <c r="N786" t="s">
        <v>643</v>
      </c>
      <c r="P786">
        <v>22073</v>
      </c>
      <c r="Q786">
        <v>0.09</v>
      </c>
      <c r="R786">
        <v>0.7</v>
      </c>
      <c r="S786" t="b">
        <v>0</v>
      </c>
      <c r="T786">
        <v>1</v>
      </c>
      <c r="U786">
        <v>17</v>
      </c>
      <c r="V786" t="s">
        <v>0</v>
      </c>
    </row>
    <row r="787" spans="1:22" x14ac:dyDescent="0.25">
      <c r="A787" t="s">
        <v>642</v>
      </c>
      <c r="B787">
        <v>2022</v>
      </c>
      <c r="C787" t="s">
        <v>92</v>
      </c>
      <c r="D787" t="s">
        <v>91</v>
      </c>
      <c r="E787" t="s">
        <v>27</v>
      </c>
      <c r="F787" t="s">
        <v>41</v>
      </c>
      <c r="G787" t="s">
        <v>135</v>
      </c>
      <c r="H787" t="s">
        <v>61</v>
      </c>
      <c r="I787" t="s">
        <v>97</v>
      </c>
      <c r="J787" t="s">
        <v>79</v>
      </c>
      <c r="K787">
        <v>1</v>
      </c>
      <c r="L787" t="s">
        <v>169</v>
      </c>
      <c r="M787">
        <v>0.92</v>
      </c>
      <c r="N787" t="s">
        <v>641</v>
      </c>
      <c r="O787" t="s">
        <v>169</v>
      </c>
      <c r="P787">
        <v>92909</v>
      </c>
      <c r="Q787">
        <v>5.18</v>
      </c>
      <c r="R787">
        <v>0.12</v>
      </c>
      <c r="S787" t="b">
        <v>1</v>
      </c>
      <c r="T787">
        <v>1</v>
      </c>
      <c r="U787">
        <v>2</v>
      </c>
      <c r="V787" t="s">
        <v>0</v>
      </c>
    </row>
    <row r="788" spans="1:22" x14ac:dyDescent="0.25">
      <c r="A788" t="s">
        <v>640</v>
      </c>
      <c r="B788">
        <v>2022</v>
      </c>
      <c r="C788" t="s">
        <v>98</v>
      </c>
      <c r="D788" t="s">
        <v>43</v>
      </c>
      <c r="E788" t="s">
        <v>182</v>
      </c>
      <c r="F788" t="s">
        <v>103</v>
      </c>
      <c r="G788" t="s">
        <v>5</v>
      </c>
      <c r="H788" t="s">
        <v>102</v>
      </c>
      <c r="I788" t="s">
        <v>33</v>
      </c>
      <c r="J788" t="s">
        <v>96</v>
      </c>
      <c r="K788">
        <v>1</v>
      </c>
      <c r="L788" t="s">
        <v>638</v>
      </c>
      <c r="M788">
        <v>0.43</v>
      </c>
      <c r="N788" t="s">
        <v>639</v>
      </c>
      <c r="O788" t="s">
        <v>638</v>
      </c>
      <c r="P788">
        <v>110456</v>
      </c>
      <c r="Q788">
        <v>15.83</v>
      </c>
      <c r="R788">
        <v>0.28999999999999998</v>
      </c>
      <c r="S788" t="b">
        <v>1</v>
      </c>
      <c r="T788">
        <v>2</v>
      </c>
      <c r="U788">
        <v>15</v>
      </c>
      <c r="V788" t="s">
        <v>46</v>
      </c>
    </row>
    <row r="789" spans="1:22" x14ac:dyDescent="0.25">
      <c r="A789" t="s">
        <v>637</v>
      </c>
      <c r="B789">
        <v>2022</v>
      </c>
      <c r="C789" t="s">
        <v>171</v>
      </c>
      <c r="D789" t="s">
        <v>57</v>
      </c>
      <c r="E789" t="s">
        <v>42</v>
      </c>
      <c r="F789" t="s">
        <v>156</v>
      </c>
      <c r="G789" t="s">
        <v>25</v>
      </c>
      <c r="H789" t="s">
        <v>34</v>
      </c>
      <c r="I789" t="s">
        <v>107</v>
      </c>
      <c r="J789" t="s">
        <v>73</v>
      </c>
      <c r="K789">
        <v>0</v>
      </c>
      <c r="M789">
        <v>0.09</v>
      </c>
      <c r="N789" t="s">
        <v>636</v>
      </c>
      <c r="P789">
        <v>84829</v>
      </c>
      <c r="Q789">
        <v>-4.37</v>
      </c>
      <c r="R789">
        <v>0.82</v>
      </c>
      <c r="S789" t="b">
        <v>0</v>
      </c>
      <c r="T789">
        <v>1</v>
      </c>
      <c r="U789">
        <v>11</v>
      </c>
      <c r="V789" t="s">
        <v>0</v>
      </c>
    </row>
    <row r="790" spans="1:22" x14ac:dyDescent="0.25">
      <c r="A790" t="s">
        <v>635</v>
      </c>
      <c r="B790">
        <v>2022</v>
      </c>
      <c r="C790" t="s">
        <v>171</v>
      </c>
      <c r="D790" t="s">
        <v>57</v>
      </c>
      <c r="E790" t="s">
        <v>27</v>
      </c>
      <c r="F790" t="s">
        <v>108</v>
      </c>
      <c r="G790" t="s">
        <v>62</v>
      </c>
      <c r="H790" t="s">
        <v>85</v>
      </c>
      <c r="I790" t="s">
        <v>107</v>
      </c>
      <c r="J790" t="s">
        <v>79</v>
      </c>
      <c r="K790">
        <v>1</v>
      </c>
      <c r="L790" t="s">
        <v>633</v>
      </c>
      <c r="M790">
        <v>0.65</v>
      </c>
      <c r="N790" t="s">
        <v>634</v>
      </c>
      <c r="O790" t="s">
        <v>633</v>
      </c>
      <c r="P790">
        <v>121908</v>
      </c>
      <c r="Q790">
        <v>9.02</v>
      </c>
      <c r="R790">
        <v>0.38</v>
      </c>
      <c r="S790" t="b">
        <v>1</v>
      </c>
      <c r="T790">
        <v>1</v>
      </c>
      <c r="U790">
        <v>13</v>
      </c>
      <c r="V790" t="s">
        <v>0</v>
      </c>
    </row>
    <row r="791" spans="1:22" x14ac:dyDescent="0.25">
      <c r="A791" t="s">
        <v>632</v>
      </c>
      <c r="B791">
        <v>2022</v>
      </c>
      <c r="C791" t="s">
        <v>176</v>
      </c>
      <c r="D791" t="s">
        <v>64</v>
      </c>
      <c r="E791" t="s">
        <v>121</v>
      </c>
      <c r="F791" t="s">
        <v>124</v>
      </c>
      <c r="G791" t="s">
        <v>25</v>
      </c>
      <c r="H791" t="s">
        <v>4</v>
      </c>
      <c r="I791" t="s">
        <v>97</v>
      </c>
      <c r="J791" t="s">
        <v>96</v>
      </c>
      <c r="K791">
        <v>0</v>
      </c>
      <c r="M791">
        <v>0.18</v>
      </c>
      <c r="N791" t="s">
        <v>631</v>
      </c>
      <c r="P791">
        <v>95137</v>
      </c>
      <c r="Q791">
        <v>1.38</v>
      </c>
      <c r="R791">
        <v>0.74</v>
      </c>
      <c r="S791" t="b">
        <v>0</v>
      </c>
      <c r="T791">
        <v>3</v>
      </c>
      <c r="U791">
        <v>13</v>
      </c>
      <c r="V791" t="s">
        <v>0</v>
      </c>
    </row>
    <row r="792" spans="1:22" x14ac:dyDescent="0.25">
      <c r="A792" t="s">
        <v>630</v>
      </c>
      <c r="B792">
        <v>2022</v>
      </c>
      <c r="C792" t="s">
        <v>126</v>
      </c>
      <c r="D792" t="s">
        <v>125</v>
      </c>
      <c r="E792" t="s">
        <v>7</v>
      </c>
      <c r="F792" t="s">
        <v>80</v>
      </c>
      <c r="G792" t="s">
        <v>25</v>
      </c>
      <c r="H792" t="s">
        <v>4</v>
      </c>
      <c r="I792" t="s">
        <v>33</v>
      </c>
      <c r="J792" t="s">
        <v>13</v>
      </c>
      <c r="K792">
        <v>1</v>
      </c>
      <c r="L792" t="s">
        <v>628</v>
      </c>
      <c r="M792">
        <v>0.54</v>
      </c>
      <c r="N792" t="s">
        <v>629</v>
      </c>
      <c r="O792" t="s">
        <v>628</v>
      </c>
      <c r="P792">
        <v>38446</v>
      </c>
      <c r="Q792">
        <v>5.68</v>
      </c>
      <c r="R792">
        <v>0.28000000000000003</v>
      </c>
      <c r="S792" t="b">
        <v>1</v>
      </c>
      <c r="T792">
        <v>3</v>
      </c>
      <c r="U792">
        <v>10</v>
      </c>
      <c r="V792" t="s">
        <v>0</v>
      </c>
    </row>
    <row r="793" spans="1:22" x14ac:dyDescent="0.25">
      <c r="A793" t="s">
        <v>627</v>
      </c>
      <c r="B793">
        <v>2022</v>
      </c>
      <c r="C793" t="s">
        <v>70</v>
      </c>
      <c r="D793" t="s">
        <v>18</v>
      </c>
      <c r="E793" t="s">
        <v>219</v>
      </c>
      <c r="F793" t="s">
        <v>112</v>
      </c>
      <c r="G793" t="s">
        <v>5</v>
      </c>
      <c r="H793" t="s">
        <v>179</v>
      </c>
      <c r="I793" t="s">
        <v>14</v>
      </c>
      <c r="J793" t="s">
        <v>73</v>
      </c>
      <c r="K793">
        <v>0</v>
      </c>
      <c r="M793">
        <v>0.17</v>
      </c>
      <c r="N793" t="s">
        <v>626</v>
      </c>
      <c r="P793">
        <v>69774</v>
      </c>
      <c r="Q793">
        <v>-4.2300000000000004</v>
      </c>
      <c r="R793">
        <v>0.88</v>
      </c>
      <c r="S793" t="b">
        <v>0</v>
      </c>
      <c r="T793">
        <v>3</v>
      </c>
      <c r="U793">
        <v>1</v>
      </c>
      <c r="V793" t="s">
        <v>0</v>
      </c>
    </row>
    <row r="794" spans="1:22" x14ac:dyDescent="0.25">
      <c r="A794" t="s">
        <v>625</v>
      </c>
      <c r="B794">
        <v>2022</v>
      </c>
      <c r="C794" t="s">
        <v>70</v>
      </c>
      <c r="D794" t="s">
        <v>18</v>
      </c>
      <c r="E794" t="s">
        <v>7</v>
      </c>
      <c r="F794" t="s">
        <v>75</v>
      </c>
      <c r="G794" t="s">
        <v>135</v>
      </c>
      <c r="H794" t="s">
        <v>179</v>
      </c>
      <c r="I794" t="s">
        <v>40</v>
      </c>
      <c r="J794" t="s">
        <v>96</v>
      </c>
      <c r="K794">
        <v>1</v>
      </c>
      <c r="L794" t="s">
        <v>599</v>
      </c>
      <c r="M794">
        <v>0.94</v>
      </c>
      <c r="N794" t="s">
        <v>624</v>
      </c>
      <c r="O794" t="s">
        <v>599</v>
      </c>
      <c r="P794">
        <v>107488</v>
      </c>
      <c r="Q794">
        <v>8.44</v>
      </c>
      <c r="R794">
        <v>0.32</v>
      </c>
      <c r="S794" t="b">
        <v>1</v>
      </c>
      <c r="T794">
        <v>2</v>
      </c>
      <c r="U794">
        <v>0</v>
      </c>
      <c r="V794" t="s">
        <v>0</v>
      </c>
    </row>
    <row r="795" spans="1:22" x14ac:dyDescent="0.25">
      <c r="A795" t="s">
        <v>623</v>
      </c>
      <c r="B795">
        <v>2022</v>
      </c>
      <c r="C795" t="s">
        <v>413</v>
      </c>
      <c r="D795" t="s">
        <v>8</v>
      </c>
      <c r="E795" t="s">
        <v>7</v>
      </c>
      <c r="F795" t="s">
        <v>6</v>
      </c>
      <c r="G795" t="s">
        <v>5</v>
      </c>
      <c r="H795" t="s">
        <v>85</v>
      </c>
      <c r="I795" t="s">
        <v>107</v>
      </c>
      <c r="J795" t="s">
        <v>2</v>
      </c>
      <c r="K795">
        <v>1</v>
      </c>
      <c r="L795" t="s">
        <v>621</v>
      </c>
      <c r="M795">
        <v>0.63</v>
      </c>
      <c r="N795" t="s">
        <v>622</v>
      </c>
      <c r="O795" t="s">
        <v>621</v>
      </c>
      <c r="P795">
        <v>37492</v>
      </c>
      <c r="Q795">
        <v>14.96</v>
      </c>
      <c r="R795">
        <v>0.11</v>
      </c>
      <c r="S795" t="b">
        <v>1</v>
      </c>
      <c r="T795">
        <v>1</v>
      </c>
      <c r="U795">
        <v>11</v>
      </c>
      <c r="V795" t="s">
        <v>0</v>
      </c>
    </row>
    <row r="796" spans="1:22" x14ac:dyDescent="0.25">
      <c r="A796" t="s">
        <v>620</v>
      </c>
      <c r="B796">
        <v>2022</v>
      </c>
      <c r="C796" t="s">
        <v>65</v>
      </c>
      <c r="D796" t="s">
        <v>64</v>
      </c>
      <c r="E796" t="s">
        <v>17</v>
      </c>
      <c r="F796" t="s">
        <v>69</v>
      </c>
      <c r="G796" t="s">
        <v>5</v>
      </c>
      <c r="H796" t="s">
        <v>85</v>
      </c>
      <c r="I796" t="s">
        <v>68</v>
      </c>
      <c r="J796" t="s">
        <v>79</v>
      </c>
      <c r="K796">
        <v>1</v>
      </c>
      <c r="L796" t="s">
        <v>618</v>
      </c>
      <c r="M796">
        <v>0.62</v>
      </c>
      <c r="N796" t="s">
        <v>619</v>
      </c>
      <c r="O796" t="s">
        <v>618</v>
      </c>
      <c r="P796">
        <v>122020</v>
      </c>
      <c r="Q796">
        <v>11.83</v>
      </c>
      <c r="R796">
        <v>0.38</v>
      </c>
      <c r="S796" t="b">
        <v>1</v>
      </c>
      <c r="T796">
        <v>2</v>
      </c>
      <c r="U796">
        <v>13</v>
      </c>
      <c r="V796" t="s">
        <v>0</v>
      </c>
    </row>
    <row r="797" spans="1:22" x14ac:dyDescent="0.25">
      <c r="A797" t="s">
        <v>617</v>
      </c>
      <c r="B797">
        <v>2023</v>
      </c>
      <c r="C797" t="s">
        <v>9</v>
      </c>
      <c r="D797" t="s">
        <v>8</v>
      </c>
      <c r="E797" t="s">
        <v>121</v>
      </c>
      <c r="F797" t="s">
        <v>55</v>
      </c>
      <c r="G797" t="s">
        <v>16</v>
      </c>
      <c r="H797" t="s">
        <v>15</v>
      </c>
      <c r="I797" t="s">
        <v>68</v>
      </c>
      <c r="J797" t="s">
        <v>2</v>
      </c>
      <c r="K797">
        <v>0</v>
      </c>
      <c r="M797">
        <v>0.2</v>
      </c>
      <c r="N797" t="s">
        <v>616</v>
      </c>
      <c r="P797">
        <v>24450</v>
      </c>
      <c r="Q797">
        <v>-0.97</v>
      </c>
      <c r="R797">
        <v>0.7</v>
      </c>
      <c r="S797" t="b">
        <v>0</v>
      </c>
      <c r="T797">
        <v>1</v>
      </c>
      <c r="U797">
        <v>14</v>
      </c>
      <c r="V797" t="s">
        <v>0</v>
      </c>
    </row>
    <row r="798" spans="1:22" x14ac:dyDescent="0.25">
      <c r="A798" t="s">
        <v>615</v>
      </c>
      <c r="B798">
        <v>2023</v>
      </c>
      <c r="C798" t="s">
        <v>348</v>
      </c>
      <c r="D798" t="s">
        <v>64</v>
      </c>
      <c r="E798" t="s">
        <v>86</v>
      </c>
      <c r="F798" t="s">
        <v>156</v>
      </c>
      <c r="G798" t="s">
        <v>25</v>
      </c>
      <c r="H798" t="s">
        <v>102</v>
      </c>
      <c r="I798" t="s">
        <v>107</v>
      </c>
      <c r="J798" t="s">
        <v>23</v>
      </c>
      <c r="K798">
        <v>0</v>
      </c>
      <c r="M798">
        <v>0.11</v>
      </c>
      <c r="N798" t="s">
        <v>614</v>
      </c>
      <c r="P798">
        <v>103705</v>
      </c>
      <c r="Q798">
        <v>2.42</v>
      </c>
      <c r="R798">
        <v>0.8</v>
      </c>
      <c r="S798" t="b">
        <v>0</v>
      </c>
      <c r="T798">
        <v>2</v>
      </c>
      <c r="U798">
        <v>12</v>
      </c>
      <c r="V798" t="s">
        <v>46</v>
      </c>
    </row>
    <row r="799" spans="1:22" x14ac:dyDescent="0.25">
      <c r="A799" t="s">
        <v>613</v>
      </c>
      <c r="B799">
        <v>2023</v>
      </c>
      <c r="C799" t="s">
        <v>98</v>
      </c>
      <c r="D799" t="s">
        <v>43</v>
      </c>
      <c r="E799" t="s">
        <v>56</v>
      </c>
      <c r="F799" t="s">
        <v>75</v>
      </c>
      <c r="G799" t="s">
        <v>62</v>
      </c>
      <c r="H799" t="s">
        <v>15</v>
      </c>
      <c r="I799" t="s">
        <v>97</v>
      </c>
      <c r="J799" t="s">
        <v>23</v>
      </c>
      <c r="K799">
        <v>0</v>
      </c>
      <c r="M799">
        <v>0.08</v>
      </c>
      <c r="N799" t="s">
        <v>612</v>
      </c>
      <c r="P799">
        <v>89917</v>
      </c>
      <c r="Q799">
        <v>-4.63</v>
      </c>
      <c r="R799">
        <v>0.63</v>
      </c>
      <c r="S799" t="b">
        <v>0</v>
      </c>
      <c r="T799">
        <v>1</v>
      </c>
      <c r="U799">
        <v>6</v>
      </c>
      <c r="V799" t="s">
        <v>0</v>
      </c>
    </row>
    <row r="800" spans="1:22" x14ac:dyDescent="0.25">
      <c r="A800" t="s">
        <v>611</v>
      </c>
      <c r="B800">
        <v>2023</v>
      </c>
      <c r="C800" t="s">
        <v>104</v>
      </c>
      <c r="D800" t="s">
        <v>8</v>
      </c>
      <c r="E800" t="s">
        <v>7</v>
      </c>
      <c r="F800" t="s">
        <v>63</v>
      </c>
      <c r="G800" t="s">
        <v>135</v>
      </c>
      <c r="H800" t="s">
        <v>4</v>
      </c>
      <c r="I800" t="s">
        <v>40</v>
      </c>
      <c r="J800" t="s">
        <v>96</v>
      </c>
      <c r="K800">
        <v>1</v>
      </c>
      <c r="L800" t="s">
        <v>190</v>
      </c>
      <c r="M800">
        <v>0.44</v>
      </c>
      <c r="N800" t="s">
        <v>610</v>
      </c>
      <c r="O800" t="s">
        <v>190</v>
      </c>
      <c r="P800">
        <v>43249</v>
      </c>
      <c r="Q800">
        <v>13.06</v>
      </c>
      <c r="R800">
        <v>0.17</v>
      </c>
      <c r="S800" t="b">
        <v>1</v>
      </c>
      <c r="T800">
        <v>2</v>
      </c>
      <c r="U800">
        <v>17</v>
      </c>
      <c r="V800" t="s">
        <v>0</v>
      </c>
    </row>
    <row r="801" spans="1:22" x14ac:dyDescent="0.25">
      <c r="A801" t="s">
        <v>609</v>
      </c>
      <c r="B801">
        <v>2023</v>
      </c>
      <c r="C801" t="s">
        <v>407</v>
      </c>
      <c r="D801" t="s">
        <v>131</v>
      </c>
      <c r="E801" t="s">
        <v>147</v>
      </c>
      <c r="F801" t="s">
        <v>35</v>
      </c>
      <c r="G801" t="s">
        <v>62</v>
      </c>
      <c r="H801" t="s">
        <v>49</v>
      </c>
      <c r="I801" t="s">
        <v>14</v>
      </c>
      <c r="J801" t="s">
        <v>13</v>
      </c>
      <c r="K801">
        <v>1</v>
      </c>
      <c r="L801" t="s">
        <v>607</v>
      </c>
      <c r="M801">
        <v>0.91</v>
      </c>
      <c r="N801" t="s">
        <v>608</v>
      </c>
      <c r="O801" t="s">
        <v>607</v>
      </c>
      <c r="P801">
        <v>50798</v>
      </c>
      <c r="Q801">
        <v>15.81</v>
      </c>
      <c r="R801">
        <v>0.13</v>
      </c>
      <c r="S801" t="b">
        <v>1</v>
      </c>
      <c r="T801">
        <v>2</v>
      </c>
      <c r="U801">
        <v>1</v>
      </c>
      <c r="V801" t="s">
        <v>46</v>
      </c>
    </row>
    <row r="802" spans="1:22" x14ac:dyDescent="0.25">
      <c r="A802" t="s">
        <v>606</v>
      </c>
      <c r="B802">
        <v>2023</v>
      </c>
      <c r="C802" t="s">
        <v>126</v>
      </c>
      <c r="D802" t="s">
        <v>125</v>
      </c>
      <c r="E802" t="s">
        <v>121</v>
      </c>
      <c r="F802" t="s">
        <v>156</v>
      </c>
      <c r="G802" t="s">
        <v>62</v>
      </c>
      <c r="H802" t="s">
        <v>49</v>
      </c>
      <c r="I802" t="s">
        <v>14</v>
      </c>
      <c r="J802" t="s">
        <v>23</v>
      </c>
      <c r="K802">
        <v>1</v>
      </c>
      <c r="L802" t="s">
        <v>150</v>
      </c>
      <c r="M802">
        <v>0.53</v>
      </c>
      <c r="N802" t="s">
        <v>605</v>
      </c>
      <c r="O802" t="s">
        <v>150</v>
      </c>
      <c r="P802">
        <v>36488</v>
      </c>
      <c r="Q802">
        <v>13.1</v>
      </c>
      <c r="R802">
        <v>0.12</v>
      </c>
      <c r="S802" t="b">
        <v>1</v>
      </c>
      <c r="T802">
        <v>3</v>
      </c>
      <c r="U802">
        <v>11</v>
      </c>
      <c r="V802" t="s">
        <v>46</v>
      </c>
    </row>
    <row r="803" spans="1:22" x14ac:dyDescent="0.25">
      <c r="A803" t="s">
        <v>604</v>
      </c>
      <c r="B803">
        <v>2023</v>
      </c>
      <c r="C803" t="s">
        <v>298</v>
      </c>
      <c r="D803" t="s">
        <v>125</v>
      </c>
      <c r="E803" t="s">
        <v>219</v>
      </c>
      <c r="F803" t="s">
        <v>26</v>
      </c>
      <c r="G803" t="s">
        <v>16</v>
      </c>
      <c r="H803" t="s">
        <v>4</v>
      </c>
      <c r="I803" t="s">
        <v>107</v>
      </c>
      <c r="J803" t="s">
        <v>73</v>
      </c>
      <c r="K803">
        <v>1</v>
      </c>
      <c r="L803" t="s">
        <v>602</v>
      </c>
      <c r="M803">
        <v>0.68</v>
      </c>
      <c r="N803" t="s">
        <v>603</v>
      </c>
      <c r="O803" t="s">
        <v>602</v>
      </c>
      <c r="P803">
        <v>40159</v>
      </c>
      <c r="Q803">
        <v>12.2</v>
      </c>
      <c r="R803">
        <v>0.22</v>
      </c>
      <c r="S803" t="b">
        <v>1</v>
      </c>
      <c r="T803">
        <v>1</v>
      </c>
      <c r="U803">
        <v>3</v>
      </c>
      <c r="V803" t="s">
        <v>0</v>
      </c>
    </row>
    <row r="804" spans="1:22" x14ac:dyDescent="0.25">
      <c r="A804" t="s">
        <v>601</v>
      </c>
      <c r="B804">
        <v>2023</v>
      </c>
      <c r="C804" t="s">
        <v>92</v>
      </c>
      <c r="D804" t="s">
        <v>91</v>
      </c>
      <c r="E804" t="s">
        <v>182</v>
      </c>
      <c r="F804" t="s">
        <v>103</v>
      </c>
      <c r="G804" t="s">
        <v>5</v>
      </c>
      <c r="H804" t="s">
        <v>49</v>
      </c>
      <c r="I804" t="s">
        <v>40</v>
      </c>
      <c r="J804" t="s">
        <v>73</v>
      </c>
      <c r="K804">
        <v>1</v>
      </c>
      <c r="L804" t="s">
        <v>599</v>
      </c>
      <c r="M804">
        <v>0.46</v>
      </c>
      <c r="N804" t="s">
        <v>600</v>
      </c>
      <c r="O804" t="s">
        <v>599</v>
      </c>
      <c r="P804">
        <v>92276</v>
      </c>
      <c r="Q804">
        <v>8.84</v>
      </c>
      <c r="R804">
        <v>0.23</v>
      </c>
      <c r="S804" t="b">
        <v>1</v>
      </c>
      <c r="T804">
        <v>1</v>
      </c>
      <c r="U804">
        <v>12</v>
      </c>
      <c r="V804" t="s">
        <v>46</v>
      </c>
    </row>
    <row r="805" spans="1:22" x14ac:dyDescent="0.25">
      <c r="A805" t="s">
        <v>598</v>
      </c>
      <c r="B805">
        <v>2023</v>
      </c>
      <c r="C805" t="s">
        <v>167</v>
      </c>
      <c r="D805" t="s">
        <v>43</v>
      </c>
      <c r="E805" t="s">
        <v>130</v>
      </c>
      <c r="F805" t="s">
        <v>124</v>
      </c>
      <c r="G805" t="s">
        <v>16</v>
      </c>
      <c r="H805" t="s">
        <v>141</v>
      </c>
      <c r="I805" t="s">
        <v>33</v>
      </c>
      <c r="J805" t="s">
        <v>73</v>
      </c>
      <c r="K805">
        <v>0</v>
      </c>
      <c r="M805">
        <v>0.1</v>
      </c>
      <c r="N805" t="s">
        <v>597</v>
      </c>
      <c r="P805">
        <v>78499</v>
      </c>
      <c r="Q805">
        <v>-3.38</v>
      </c>
      <c r="R805">
        <v>0.88</v>
      </c>
      <c r="S805" t="b">
        <v>0</v>
      </c>
      <c r="T805">
        <v>2</v>
      </c>
      <c r="U805">
        <v>19</v>
      </c>
      <c r="V805" t="s">
        <v>0</v>
      </c>
    </row>
    <row r="806" spans="1:22" x14ac:dyDescent="0.25">
      <c r="A806" t="s">
        <v>596</v>
      </c>
      <c r="B806">
        <v>2023</v>
      </c>
      <c r="C806" t="s">
        <v>176</v>
      </c>
      <c r="D806" t="s">
        <v>64</v>
      </c>
      <c r="E806" t="s">
        <v>56</v>
      </c>
      <c r="F806" t="s">
        <v>80</v>
      </c>
      <c r="G806" t="s">
        <v>16</v>
      </c>
      <c r="H806" t="s">
        <v>4</v>
      </c>
      <c r="I806" t="s">
        <v>3</v>
      </c>
      <c r="J806" t="s">
        <v>23</v>
      </c>
      <c r="K806">
        <v>0</v>
      </c>
      <c r="M806">
        <v>0.08</v>
      </c>
      <c r="N806" t="s">
        <v>595</v>
      </c>
      <c r="P806">
        <v>97165</v>
      </c>
      <c r="Q806">
        <v>4.37</v>
      </c>
      <c r="R806">
        <v>0.89</v>
      </c>
      <c r="S806" t="b">
        <v>0</v>
      </c>
      <c r="T806">
        <v>3</v>
      </c>
      <c r="U806">
        <v>17</v>
      </c>
      <c r="V806" t="s">
        <v>0</v>
      </c>
    </row>
    <row r="807" spans="1:22" x14ac:dyDescent="0.25">
      <c r="A807" t="s">
        <v>594</v>
      </c>
      <c r="B807">
        <v>2023</v>
      </c>
      <c r="C807" t="s">
        <v>171</v>
      </c>
      <c r="D807" t="s">
        <v>57</v>
      </c>
      <c r="E807" t="s">
        <v>116</v>
      </c>
      <c r="F807" t="s">
        <v>115</v>
      </c>
      <c r="G807" t="s">
        <v>25</v>
      </c>
      <c r="H807" t="s">
        <v>141</v>
      </c>
      <c r="I807" t="s">
        <v>3</v>
      </c>
      <c r="J807" t="s">
        <v>79</v>
      </c>
      <c r="K807">
        <v>1</v>
      </c>
      <c r="L807" t="s">
        <v>521</v>
      </c>
      <c r="M807">
        <v>0.57999999999999996</v>
      </c>
      <c r="N807" t="s">
        <v>593</v>
      </c>
      <c r="O807" t="s">
        <v>521</v>
      </c>
      <c r="P807">
        <v>110516</v>
      </c>
      <c r="Q807">
        <v>10.85</v>
      </c>
      <c r="R807">
        <v>0.21</v>
      </c>
      <c r="S807" t="b">
        <v>1</v>
      </c>
      <c r="T807">
        <v>2</v>
      </c>
      <c r="U807">
        <v>6</v>
      </c>
      <c r="V807" t="s">
        <v>0</v>
      </c>
    </row>
    <row r="808" spans="1:22" x14ac:dyDescent="0.25">
      <c r="A808" t="s">
        <v>592</v>
      </c>
      <c r="B808">
        <v>2023</v>
      </c>
      <c r="C808" t="s">
        <v>245</v>
      </c>
      <c r="D808" t="s">
        <v>125</v>
      </c>
      <c r="E808" t="s">
        <v>147</v>
      </c>
      <c r="F808" t="s">
        <v>6</v>
      </c>
      <c r="G808" t="s">
        <v>16</v>
      </c>
      <c r="H808" t="s">
        <v>61</v>
      </c>
      <c r="I808" t="s">
        <v>107</v>
      </c>
      <c r="J808" t="s">
        <v>2</v>
      </c>
      <c r="K808">
        <v>0</v>
      </c>
      <c r="M808">
        <v>0.04</v>
      </c>
      <c r="N808" t="s">
        <v>591</v>
      </c>
      <c r="P808">
        <v>26913</v>
      </c>
      <c r="Q808">
        <v>3.09</v>
      </c>
      <c r="R808">
        <v>0.62</v>
      </c>
      <c r="S808" t="b">
        <v>0</v>
      </c>
      <c r="T808">
        <v>3</v>
      </c>
      <c r="U808">
        <v>12</v>
      </c>
      <c r="V808" t="s">
        <v>0</v>
      </c>
    </row>
    <row r="809" spans="1:22" x14ac:dyDescent="0.25">
      <c r="A809" t="s">
        <v>590</v>
      </c>
      <c r="B809">
        <v>2023</v>
      </c>
      <c r="C809" t="s">
        <v>86</v>
      </c>
      <c r="D809" t="s">
        <v>131</v>
      </c>
      <c r="E809" t="s">
        <v>86</v>
      </c>
      <c r="F809" t="s">
        <v>75</v>
      </c>
      <c r="G809" t="s">
        <v>135</v>
      </c>
      <c r="H809" t="s">
        <v>34</v>
      </c>
      <c r="I809" t="s">
        <v>107</v>
      </c>
      <c r="J809" t="s">
        <v>96</v>
      </c>
      <c r="K809">
        <v>0</v>
      </c>
      <c r="M809">
        <v>0.06</v>
      </c>
      <c r="N809" t="s">
        <v>589</v>
      </c>
      <c r="P809">
        <v>46384</v>
      </c>
      <c r="Q809">
        <v>3.77</v>
      </c>
      <c r="R809">
        <v>0.63</v>
      </c>
      <c r="S809" t="b">
        <v>0</v>
      </c>
      <c r="T809">
        <v>3</v>
      </c>
      <c r="U809">
        <v>7</v>
      </c>
      <c r="V809" t="s">
        <v>0</v>
      </c>
    </row>
    <row r="810" spans="1:22" x14ac:dyDescent="0.25">
      <c r="A810" t="s">
        <v>588</v>
      </c>
      <c r="B810">
        <v>2023</v>
      </c>
      <c r="C810" t="s">
        <v>19</v>
      </c>
      <c r="D810" t="s">
        <v>18</v>
      </c>
      <c r="E810" t="s">
        <v>116</v>
      </c>
      <c r="F810" t="s">
        <v>41</v>
      </c>
      <c r="G810" t="s">
        <v>5</v>
      </c>
      <c r="H810" t="s">
        <v>61</v>
      </c>
      <c r="I810" t="s">
        <v>90</v>
      </c>
      <c r="J810" t="s">
        <v>96</v>
      </c>
      <c r="K810">
        <v>1</v>
      </c>
      <c r="L810" t="s">
        <v>261</v>
      </c>
      <c r="M810">
        <v>0.56999999999999995</v>
      </c>
      <c r="N810" t="s">
        <v>587</v>
      </c>
      <c r="O810" t="s">
        <v>261</v>
      </c>
      <c r="P810">
        <v>107392</v>
      </c>
      <c r="Q810">
        <v>7.64</v>
      </c>
      <c r="R810">
        <v>0.34</v>
      </c>
      <c r="S810" t="b">
        <v>1</v>
      </c>
      <c r="T810">
        <v>1</v>
      </c>
      <c r="U810">
        <v>7</v>
      </c>
      <c r="V810" t="s">
        <v>0</v>
      </c>
    </row>
    <row r="811" spans="1:22" x14ac:dyDescent="0.25">
      <c r="A811" t="s">
        <v>586</v>
      </c>
      <c r="B811">
        <v>2023</v>
      </c>
      <c r="C811" t="s">
        <v>333</v>
      </c>
      <c r="D811" t="s">
        <v>28</v>
      </c>
      <c r="E811" t="s">
        <v>121</v>
      </c>
      <c r="F811" t="s">
        <v>55</v>
      </c>
      <c r="G811" t="s">
        <v>25</v>
      </c>
      <c r="H811" t="s">
        <v>34</v>
      </c>
      <c r="I811" t="s">
        <v>33</v>
      </c>
      <c r="J811" t="s">
        <v>79</v>
      </c>
      <c r="K811">
        <v>1</v>
      </c>
      <c r="L811" t="s">
        <v>584</v>
      </c>
      <c r="M811">
        <v>0.71</v>
      </c>
      <c r="N811" t="s">
        <v>585</v>
      </c>
      <c r="O811" t="s">
        <v>584</v>
      </c>
      <c r="P811">
        <v>62708</v>
      </c>
      <c r="Q811">
        <v>8.89</v>
      </c>
      <c r="R811">
        <v>0.22</v>
      </c>
      <c r="S811" t="b">
        <v>1</v>
      </c>
      <c r="T811">
        <v>1</v>
      </c>
      <c r="U811">
        <v>13</v>
      </c>
      <c r="V811" t="s">
        <v>0</v>
      </c>
    </row>
    <row r="812" spans="1:22" x14ac:dyDescent="0.25">
      <c r="A812" t="s">
        <v>583</v>
      </c>
      <c r="B812">
        <v>2023</v>
      </c>
      <c r="C812" t="s">
        <v>104</v>
      </c>
      <c r="D812" t="s">
        <v>8</v>
      </c>
      <c r="E812" t="s">
        <v>116</v>
      </c>
      <c r="F812" t="s">
        <v>103</v>
      </c>
      <c r="G812" t="s">
        <v>135</v>
      </c>
      <c r="H812" t="s">
        <v>49</v>
      </c>
      <c r="I812" t="s">
        <v>14</v>
      </c>
      <c r="J812" t="s">
        <v>23</v>
      </c>
      <c r="K812">
        <v>1</v>
      </c>
      <c r="L812" t="s">
        <v>581</v>
      </c>
      <c r="M812">
        <v>0.85</v>
      </c>
      <c r="N812" t="s">
        <v>582</v>
      </c>
      <c r="O812" t="s">
        <v>581</v>
      </c>
      <c r="P812">
        <v>39098</v>
      </c>
      <c r="Q812">
        <v>7.07</v>
      </c>
      <c r="R812">
        <v>0.19</v>
      </c>
      <c r="S812" t="b">
        <v>1</v>
      </c>
      <c r="T812">
        <v>1</v>
      </c>
      <c r="U812">
        <v>7</v>
      </c>
      <c r="V812" t="s">
        <v>46</v>
      </c>
    </row>
    <row r="813" spans="1:22" x14ac:dyDescent="0.25">
      <c r="A813" t="s">
        <v>580</v>
      </c>
      <c r="B813">
        <v>2023</v>
      </c>
      <c r="C813" t="s">
        <v>358</v>
      </c>
      <c r="D813" t="s">
        <v>131</v>
      </c>
      <c r="E813" t="s">
        <v>147</v>
      </c>
      <c r="F813" t="s">
        <v>156</v>
      </c>
      <c r="G813" t="s">
        <v>62</v>
      </c>
      <c r="H813" t="s">
        <v>49</v>
      </c>
      <c r="I813" t="s">
        <v>90</v>
      </c>
      <c r="J813" t="s">
        <v>13</v>
      </c>
      <c r="K813">
        <v>1</v>
      </c>
      <c r="L813" t="s">
        <v>578</v>
      </c>
      <c r="M813">
        <v>0.62</v>
      </c>
      <c r="N813" t="s">
        <v>579</v>
      </c>
      <c r="O813" t="s">
        <v>578</v>
      </c>
      <c r="P813">
        <v>57627</v>
      </c>
      <c r="Q813">
        <v>15.16</v>
      </c>
      <c r="R813">
        <v>0.32</v>
      </c>
      <c r="S813" t="b">
        <v>1</v>
      </c>
      <c r="T813">
        <v>3</v>
      </c>
      <c r="U813">
        <v>1</v>
      </c>
      <c r="V813" t="s">
        <v>46</v>
      </c>
    </row>
    <row r="814" spans="1:22" x14ac:dyDescent="0.25">
      <c r="A814" t="s">
        <v>577</v>
      </c>
      <c r="B814">
        <v>2023</v>
      </c>
      <c r="C814" t="s">
        <v>171</v>
      </c>
      <c r="D814" t="s">
        <v>57</v>
      </c>
      <c r="E814" t="s">
        <v>56</v>
      </c>
      <c r="F814" t="s">
        <v>115</v>
      </c>
      <c r="G814" t="s">
        <v>25</v>
      </c>
      <c r="H814" t="s">
        <v>102</v>
      </c>
      <c r="I814" t="s">
        <v>3</v>
      </c>
      <c r="J814" t="s">
        <v>2</v>
      </c>
      <c r="K814">
        <v>1</v>
      </c>
      <c r="L814" t="s">
        <v>575</v>
      </c>
      <c r="M814">
        <v>0.51</v>
      </c>
      <c r="N814" t="s">
        <v>576</v>
      </c>
      <c r="O814" t="s">
        <v>575</v>
      </c>
      <c r="P814">
        <v>135983</v>
      </c>
      <c r="Q814">
        <v>7.09</v>
      </c>
      <c r="R814">
        <v>0.19</v>
      </c>
      <c r="S814" t="b">
        <v>1</v>
      </c>
      <c r="T814">
        <v>3</v>
      </c>
      <c r="U814">
        <v>17</v>
      </c>
      <c r="V814" t="s">
        <v>46</v>
      </c>
    </row>
    <row r="815" spans="1:22" x14ac:dyDescent="0.25">
      <c r="A815" t="s">
        <v>574</v>
      </c>
      <c r="B815">
        <v>2023</v>
      </c>
      <c r="C815" t="s">
        <v>58</v>
      </c>
      <c r="D815" t="s">
        <v>57</v>
      </c>
      <c r="E815" t="s">
        <v>7</v>
      </c>
      <c r="F815" t="s">
        <v>26</v>
      </c>
      <c r="G815" t="s">
        <v>5</v>
      </c>
      <c r="H815" t="s">
        <v>141</v>
      </c>
      <c r="I815" t="s">
        <v>74</v>
      </c>
      <c r="J815" t="s">
        <v>73</v>
      </c>
      <c r="K815">
        <v>1</v>
      </c>
      <c r="L815" t="s">
        <v>240</v>
      </c>
      <c r="M815">
        <v>0.53</v>
      </c>
      <c r="N815" t="s">
        <v>573</v>
      </c>
      <c r="O815" t="s">
        <v>240</v>
      </c>
      <c r="P815">
        <v>137961</v>
      </c>
      <c r="Q815">
        <v>15.26</v>
      </c>
      <c r="R815">
        <v>0.21</v>
      </c>
      <c r="S815" t="b">
        <v>1</v>
      </c>
      <c r="T815">
        <v>2</v>
      </c>
      <c r="U815">
        <v>6</v>
      </c>
      <c r="V815" t="s">
        <v>0</v>
      </c>
    </row>
    <row r="816" spans="1:22" x14ac:dyDescent="0.25">
      <c r="A816" t="s">
        <v>572</v>
      </c>
      <c r="B816">
        <v>2023</v>
      </c>
      <c r="C816" t="s">
        <v>311</v>
      </c>
      <c r="D816" t="s">
        <v>125</v>
      </c>
      <c r="E816" t="s">
        <v>7</v>
      </c>
      <c r="F816" t="s">
        <v>6</v>
      </c>
      <c r="G816" t="s">
        <v>16</v>
      </c>
      <c r="H816" t="s">
        <v>179</v>
      </c>
      <c r="I816" t="s">
        <v>33</v>
      </c>
      <c r="J816" t="s">
        <v>2</v>
      </c>
      <c r="K816">
        <v>1</v>
      </c>
      <c r="L816" t="s">
        <v>570</v>
      </c>
      <c r="M816">
        <v>0.4</v>
      </c>
      <c r="N816" t="s">
        <v>571</v>
      </c>
      <c r="O816" t="s">
        <v>570</v>
      </c>
      <c r="P816">
        <v>30215</v>
      </c>
      <c r="Q816">
        <v>15.19</v>
      </c>
      <c r="R816">
        <v>0.24</v>
      </c>
      <c r="S816" t="b">
        <v>1</v>
      </c>
      <c r="T816">
        <v>3</v>
      </c>
      <c r="U816">
        <v>1</v>
      </c>
      <c r="V816" t="s">
        <v>0</v>
      </c>
    </row>
    <row r="817" spans="1:22" x14ac:dyDescent="0.25">
      <c r="A817" t="s">
        <v>569</v>
      </c>
      <c r="B817">
        <v>2023</v>
      </c>
      <c r="C817" t="s">
        <v>233</v>
      </c>
      <c r="D817" t="s">
        <v>125</v>
      </c>
      <c r="E817" t="s">
        <v>50</v>
      </c>
      <c r="F817" t="s">
        <v>112</v>
      </c>
      <c r="G817" t="s">
        <v>62</v>
      </c>
      <c r="H817" t="s">
        <v>102</v>
      </c>
      <c r="I817" t="s">
        <v>107</v>
      </c>
      <c r="J817" t="s">
        <v>79</v>
      </c>
      <c r="K817">
        <v>0</v>
      </c>
      <c r="M817">
        <v>0.04</v>
      </c>
      <c r="N817" t="s">
        <v>568</v>
      </c>
      <c r="P817">
        <v>26306</v>
      </c>
      <c r="Q817">
        <v>-2.97</v>
      </c>
      <c r="R817">
        <v>0.66</v>
      </c>
      <c r="S817" t="b">
        <v>0</v>
      </c>
      <c r="T817">
        <v>3</v>
      </c>
      <c r="U817">
        <v>12</v>
      </c>
      <c r="V817" t="s">
        <v>46</v>
      </c>
    </row>
    <row r="818" spans="1:22" x14ac:dyDescent="0.25">
      <c r="A818" t="s">
        <v>567</v>
      </c>
      <c r="B818">
        <v>2023</v>
      </c>
      <c r="C818" t="s">
        <v>86</v>
      </c>
      <c r="D818" t="s">
        <v>131</v>
      </c>
      <c r="E818" t="s">
        <v>36</v>
      </c>
      <c r="F818" t="s">
        <v>124</v>
      </c>
      <c r="G818" t="s">
        <v>135</v>
      </c>
      <c r="H818" t="s">
        <v>4</v>
      </c>
      <c r="I818" t="s">
        <v>68</v>
      </c>
      <c r="J818" t="s">
        <v>73</v>
      </c>
      <c r="K818">
        <v>0</v>
      </c>
      <c r="M818">
        <v>0.09</v>
      </c>
      <c r="N818" t="s">
        <v>566</v>
      </c>
      <c r="P818">
        <v>40290</v>
      </c>
      <c r="Q818">
        <v>-3.64</v>
      </c>
      <c r="R818">
        <v>0.82</v>
      </c>
      <c r="S818" t="b">
        <v>0</v>
      </c>
      <c r="T818">
        <v>1</v>
      </c>
      <c r="U818">
        <v>14</v>
      </c>
      <c r="V818" t="s">
        <v>0</v>
      </c>
    </row>
    <row r="819" spans="1:22" x14ac:dyDescent="0.25">
      <c r="A819" t="s">
        <v>565</v>
      </c>
      <c r="B819">
        <v>2023</v>
      </c>
      <c r="C819" t="s">
        <v>382</v>
      </c>
      <c r="D819" t="s">
        <v>125</v>
      </c>
      <c r="E819" t="s">
        <v>219</v>
      </c>
      <c r="F819" t="s">
        <v>26</v>
      </c>
      <c r="G819" t="s">
        <v>25</v>
      </c>
      <c r="H819" t="s">
        <v>34</v>
      </c>
      <c r="I819" t="s">
        <v>14</v>
      </c>
      <c r="J819" t="s">
        <v>79</v>
      </c>
      <c r="K819">
        <v>0</v>
      </c>
      <c r="M819">
        <v>0.18</v>
      </c>
      <c r="N819" t="s">
        <v>564</v>
      </c>
      <c r="P819">
        <v>28009</v>
      </c>
      <c r="Q819">
        <v>-0.82</v>
      </c>
      <c r="R819">
        <v>0.61</v>
      </c>
      <c r="S819" t="b">
        <v>0</v>
      </c>
      <c r="T819">
        <v>1</v>
      </c>
      <c r="U819">
        <v>13</v>
      </c>
      <c r="V819" t="s">
        <v>0</v>
      </c>
    </row>
    <row r="820" spans="1:22" x14ac:dyDescent="0.25">
      <c r="A820" t="s">
        <v>563</v>
      </c>
      <c r="B820">
        <v>2023</v>
      </c>
      <c r="C820" t="s">
        <v>58</v>
      </c>
      <c r="D820" t="s">
        <v>57</v>
      </c>
      <c r="E820" t="s">
        <v>7</v>
      </c>
      <c r="F820" t="s">
        <v>35</v>
      </c>
      <c r="G820" t="s">
        <v>16</v>
      </c>
      <c r="H820" t="s">
        <v>15</v>
      </c>
      <c r="I820" t="s">
        <v>3</v>
      </c>
      <c r="J820" t="s">
        <v>13</v>
      </c>
      <c r="K820">
        <v>1</v>
      </c>
      <c r="L820" t="s">
        <v>561</v>
      </c>
      <c r="M820">
        <v>0.59</v>
      </c>
      <c r="N820" t="s">
        <v>562</v>
      </c>
      <c r="O820" t="s">
        <v>561</v>
      </c>
      <c r="P820">
        <v>133739</v>
      </c>
      <c r="Q820">
        <v>6.81</v>
      </c>
      <c r="R820">
        <v>0.23</v>
      </c>
      <c r="S820" t="b">
        <v>1</v>
      </c>
      <c r="T820">
        <v>3</v>
      </c>
      <c r="U820">
        <v>7</v>
      </c>
      <c r="V820" t="s">
        <v>0</v>
      </c>
    </row>
    <row r="821" spans="1:22" x14ac:dyDescent="0.25">
      <c r="A821" t="s">
        <v>560</v>
      </c>
      <c r="B821">
        <v>2023</v>
      </c>
      <c r="C821" t="s">
        <v>304</v>
      </c>
      <c r="D821" t="s">
        <v>131</v>
      </c>
      <c r="E821" t="s">
        <v>17</v>
      </c>
      <c r="F821" t="s">
        <v>156</v>
      </c>
      <c r="G821" t="s">
        <v>16</v>
      </c>
      <c r="H821" t="s">
        <v>61</v>
      </c>
      <c r="I821" t="s">
        <v>24</v>
      </c>
      <c r="J821" t="s">
        <v>13</v>
      </c>
      <c r="K821">
        <v>1</v>
      </c>
      <c r="L821" t="s">
        <v>558</v>
      </c>
      <c r="M821">
        <v>0.83</v>
      </c>
      <c r="N821" t="s">
        <v>559</v>
      </c>
      <c r="O821" t="s">
        <v>558</v>
      </c>
      <c r="P821">
        <v>54487</v>
      </c>
      <c r="Q821">
        <v>12.16</v>
      </c>
      <c r="R821">
        <v>0.28999999999999998</v>
      </c>
      <c r="S821" t="b">
        <v>1</v>
      </c>
      <c r="T821">
        <v>3</v>
      </c>
      <c r="U821">
        <v>2</v>
      </c>
      <c r="V821" t="s">
        <v>0</v>
      </c>
    </row>
    <row r="822" spans="1:22" x14ac:dyDescent="0.25">
      <c r="A822" t="s">
        <v>557</v>
      </c>
      <c r="B822">
        <v>2023</v>
      </c>
      <c r="C822" t="s">
        <v>157</v>
      </c>
      <c r="D822" t="s">
        <v>18</v>
      </c>
      <c r="E822" t="s">
        <v>17</v>
      </c>
      <c r="F822" t="s">
        <v>103</v>
      </c>
      <c r="G822" t="s">
        <v>16</v>
      </c>
      <c r="H822" t="s">
        <v>4</v>
      </c>
      <c r="I822" t="s">
        <v>107</v>
      </c>
      <c r="J822" t="s">
        <v>96</v>
      </c>
      <c r="K822">
        <v>1</v>
      </c>
      <c r="L822" t="s">
        <v>555</v>
      </c>
      <c r="M822">
        <v>0.9</v>
      </c>
      <c r="N822" t="s">
        <v>556</v>
      </c>
      <c r="O822" t="s">
        <v>555</v>
      </c>
      <c r="P822">
        <v>102844</v>
      </c>
      <c r="Q822">
        <v>13.9</v>
      </c>
      <c r="R822">
        <v>0.24</v>
      </c>
      <c r="S822" t="b">
        <v>1</v>
      </c>
      <c r="T822">
        <v>1</v>
      </c>
      <c r="U822">
        <v>3</v>
      </c>
      <c r="V822" t="s">
        <v>0</v>
      </c>
    </row>
    <row r="823" spans="1:22" x14ac:dyDescent="0.25">
      <c r="A823" t="s">
        <v>554</v>
      </c>
      <c r="B823">
        <v>2023</v>
      </c>
      <c r="C823" t="s">
        <v>176</v>
      </c>
      <c r="D823" t="s">
        <v>64</v>
      </c>
      <c r="E823" t="s">
        <v>219</v>
      </c>
      <c r="F823" t="s">
        <v>103</v>
      </c>
      <c r="G823" t="s">
        <v>5</v>
      </c>
      <c r="H823" t="s">
        <v>61</v>
      </c>
      <c r="I823" t="s">
        <v>24</v>
      </c>
      <c r="J823" t="s">
        <v>23</v>
      </c>
      <c r="K823">
        <v>0</v>
      </c>
      <c r="M823">
        <v>0.12</v>
      </c>
      <c r="N823" t="s">
        <v>553</v>
      </c>
      <c r="P823">
        <v>98885</v>
      </c>
      <c r="Q823">
        <v>-2.09</v>
      </c>
      <c r="R823">
        <v>0.75</v>
      </c>
      <c r="S823" t="b">
        <v>0</v>
      </c>
      <c r="T823">
        <v>2</v>
      </c>
      <c r="U823">
        <v>13</v>
      </c>
      <c r="V823" t="s">
        <v>0</v>
      </c>
    </row>
    <row r="824" spans="1:22" x14ac:dyDescent="0.25">
      <c r="A824" t="s">
        <v>552</v>
      </c>
      <c r="B824">
        <v>2023</v>
      </c>
      <c r="C824" t="s">
        <v>65</v>
      </c>
      <c r="D824" t="s">
        <v>64</v>
      </c>
      <c r="E824" t="s">
        <v>116</v>
      </c>
      <c r="F824" t="s">
        <v>115</v>
      </c>
      <c r="G824" t="s">
        <v>25</v>
      </c>
      <c r="H824" t="s">
        <v>102</v>
      </c>
      <c r="I824" t="s">
        <v>90</v>
      </c>
      <c r="J824" t="s">
        <v>23</v>
      </c>
      <c r="K824">
        <v>1</v>
      </c>
      <c r="L824" t="s">
        <v>550</v>
      </c>
      <c r="M824">
        <v>0.66</v>
      </c>
      <c r="N824" t="s">
        <v>551</v>
      </c>
      <c r="O824" t="s">
        <v>550</v>
      </c>
      <c r="P824">
        <v>154969</v>
      </c>
      <c r="Q824">
        <v>15.82</v>
      </c>
      <c r="R824">
        <v>0.35</v>
      </c>
      <c r="S824" t="b">
        <v>1</v>
      </c>
      <c r="T824">
        <v>2</v>
      </c>
      <c r="U824">
        <v>10</v>
      </c>
      <c r="V824" t="s">
        <v>46</v>
      </c>
    </row>
    <row r="825" spans="1:22" x14ac:dyDescent="0.25">
      <c r="A825" t="s">
        <v>549</v>
      </c>
      <c r="B825">
        <v>2023</v>
      </c>
      <c r="C825" t="s">
        <v>104</v>
      </c>
      <c r="D825" t="s">
        <v>8</v>
      </c>
      <c r="E825" t="s">
        <v>130</v>
      </c>
      <c r="F825" t="s">
        <v>69</v>
      </c>
      <c r="G825" t="s">
        <v>16</v>
      </c>
      <c r="H825" t="s">
        <v>34</v>
      </c>
      <c r="I825" t="s">
        <v>74</v>
      </c>
      <c r="J825" t="s">
        <v>23</v>
      </c>
      <c r="K825">
        <v>0</v>
      </c>
      <c r="M825">
        <v>0.12</v>
      </c>
      <c r="N825" t="s">
        <v>548</v>
      </c>
      <c r="P825">
        <v>30755</v>
      </c>
      <c r="Q825">
        <v>-2.06</v>
      </c>
      <c r="R825">
        <v>0.64</v>
      </c>
      <c r="S825" t="b">
        <v>0</v>
      </c>
      <c r="T825">
        <v>1</v>
      </c>
      <c r="U825">
        <v>5</v>
      </c>
      <c r="V825" t="s">
        <v>0</v>
      </c>
    </row>
    <row r="826" spans="1:22" x14ac:dyDescent="0.25">
      <c r="A826" t="s">
        <v>547</v>
      </c>
      <c r="B826">
        <v>2023</v>
      </c>
      <c r="C826" t="s">
        <v>171</v>
      </c>
      <c r="D826" t="s">
        <v>57</v>
      </c>
      <c r="E826" t="s">
        <v>147</v>
      </c>
      <c r="F826" t="s">
        <v>124</v>
      </c>
      <c r="G826" t="s">
        <v>135</v>
      </c>
      <c r="H826" t="s">
        <v>49</v>
      </c>
      <c r="I826" t="s">
        <v>24</v>
      </c>
      <c r="J826" t="s">
        <v>13</v>
      </c>
      <c r="K826">
        <v>1</v>
      </c>
      <c r="L826" t="s">
        <v>545</v>
      </c>
      <c r="M826">
        <v>0.62</v>
      </c>
      <c r="N826" t="s">
        <v>546</v>
      </c>
      <c r="O826" t="s">
        <v>545</v>
      </c>
      <c r="P826">
        <v>119516</v>
      </c>
      <c r="Q826">
        <v>10.06</v>
      </c>
      <c r="R826">
        <v>0.24</v>
      </c>
      <c r="S826" t="b">
        <v>1</v>
      </c>
      <c r="T826">
        <v>3</v>
      </c>
      <c r="U826">
        <v>17</v>
      </c>
      <c r="V826" t="s">
        <v>46</v>
      </c>
    </row>
    <row r="827" spans="1:22" x14ac:dyDescent="0.25">
      <c r="A827" t="s">
        <v>544</v>
      </c>
      <c r="B827">
        <v>2023</v>
      </c>
      <c r="C827" t="s">
        <v>304</v>
      </c>
      <c r="D827" t="s">
        <v>131</v>
      </c>
      <c r="E827" t="s">
        <v>17</v>
      </c>
      <c r="F827" t="s">
        <v>41</v>
      </c>
      <c r="G827" t="s">
        <v>16</v>
      </c>
      <c r="H827" t="s">
        <v>34</v>
      </c>
      <c r="I827" t="s">
        <v>68</v>
      </c>
      <c r="J827" t="s">
        <v>23</v>
      </c>
      <c r="K827">
        <v>0</v>
      </c>
      <c r="M827">
        <v>0.19</v>
      </c>
      <c r="N827" t="s">
        <v>543</v>
      </c>
      <c r="P827">
        <v>45610</v>
      </c>
      <c r="Q827">
        <v>-4.83</v>
      </c>
      <c r="R827">
        <v>0.71</v>
      </c>
      <c r="S827" t="b">
        <v>0</v>
      </c>
      <c r="T827">
        <v>3</v>
      </c>
      <c r="U827">
        <v>12</v>
      </c>
      <c r="V827" t="s">
        <v>0</v>
      </c>
    </row>
    <row r="828" spans="1:22" x14ac:dyDescent="0.25">
      <c r="A828" t="s">
        <v>542</v>
      </c>
      <c r="B828">
        <v>2023</v>
      </c>
      <c r="C828" t="s">
        <v>70</v>
      </c>
      <c r="D828" t="s">
        <v>18</v>
      </c>
      <c r="E828" t="s">
        <v>7</v>
      </c>
      <c r="F828" t="s">
        <v>35</v>
      </c>
      <c r="G828" t="s">
        <v>135</v>
      </c>
      <c r="H828" t="s">
        <v>34</v>
      </c>
      <c r="I828" t="s">
        <v>107</v>
      </c>
      <c r="J828" t="s">
        <v>79</v>
      </c>
      <c r="K828">
        <v>1</v>
      </c>
      <c r="L828" t="s">
        <v>540</v>
      </c>
      <c r="M828">
        <v>0.59</v>
      </c>
      <c r="N828" t="s">
        <v>541</v>
      </c>
      <c r="O828" t="s">
        <v>540</v>
      </c>
      <c r="P828">
        <v>109990</v>
      </c>
      <c r="Q828">
        <v>7.45</v>
      </c>
      <c r="R828">
        <v>0.38</v>
      </c>
      <c r="S828" t="b">
        <v>1</v>
      </c>
      <c r="T828">
        <v>2</v>
      </c>
      <c r="U828">
        <v>13</v>
      </c>
      <c r="V828" t="s">
        <v>0</v>
      </c>
    </row>
    <row r="829" spans="1:22" x14ac:dyDescent="0.25">
      <c r="A829" t="s">
        <v>539</v>
      </c>
      <c r="B829">
        <v>2023</v>
      </c>
      <c r="C829" t="s">
        <v>171</v>
      </c>
      <c r="D829" t="s">
        <v>57</v>
      </c>
      <c r="E829" t="s">
        <v>182</v>
      </c>
      <c r="F829" t="s">
        <v>156</v>
      </c>
      <c r="G829" t="s">
        <v>5</v>
      </c>
      <c r="H829" t="s">
        <v>4</v>
      </c>
      <c r="I829" t="s">
        <v>40</v>
      </c>
      <c r="J829" t="s">
        <v>96</v>
      </c>
      <c r="K829">
        <v>1</v>
      </c>
      <c r="L829" t="s">
        <v>169</v>
      </c>
      <c r="M829">
        <v>0.62</v>
      </c>
      <c r="N829" t="s">
        <v>538</v>
      </c>
      <c r="O829" t="s">
        <v>169</v>
      </c>
      <c r="P829">
        <v>119002</v>
      </c>
      <c r="Q829">
        <v>12.75</v>
      </c>
      <c r="R829">
        <v>0.15</v>
      </c>
      <c r="S829" t="b">
        <v>1</v>
      </c>
      <c r="T829">
        <v>1</v>
      </c>
      <c r="U829">
        <v>3</v>
      </c>
      <c r="V829" t="s">
        <v>0</v>
      </c>
    </row>
    <row r="830" spans="1:22" x14ac:dyDescent="0.25">
      <c r="A830" t="s">
        <v>537</v>
      </c>
      <c r="B830">
        <v>2023</v>
      </c>
      <c r="C830" t="s">
        <v>161</v>
      </c>
      <c r="D830" t="s">
        <v>8</v>
      </c>
      <c r="E830" t="s">
        <v>147</v>
      </c>
      <c r="F830" t="s">
        <v>124</v>
      </c>
      <c r="G830" t="s">
        <v>5</v>
      </c>
      <c r="H830" t="s">
        <v>15</v>
      </c>
      <c r="I830" t="s">
        <v>40</v>
      </c>
      <c r="J830" t="s">
        <v>73</v>
      </c>
      <c r="K830">
        <v>1</v>
      </c>
      <c r="L830" t="s">
        <v>154</v>
      </c>
      <c r="M830">
        <v>0.9</v>
      </c>
      <c r="N830" t="s">
        <v>536</v>
      </c>
      <c r="O830" t="s">
        <v>154</v>
      </c>
      <c r="P830">
        <v>35998</v>
      </c>
      <c r="Q830">
        <v>12.01</v>
      </c>
      <c r="R830">
        <v>0.33</v>
      </c>
      <c r="S830" t="b">
        <v>1</v>
      </c>
      <c r="T830">
        <v>3</v>
      </c>
      <c r="U830">
        <v>16</v>
      </c>
      <c r="V830" t="s">
        <v>0</v>
      </c>
    </row>
    <row r="831" spans="1:22" x14ac:dyDescent="0.25">
      <c r="A831" t="s">
        <v>535</v>
      </c>
      <c r="B831">
        <v>2023</v>
      </c>
      <c r="C831" t="s">
        <v>9</v>
      </c>
      <c r="D831" t="s">
        <v>8</v>
      </c>
      <c r="E831" t="s">
        <v>219</v>
      </c>
      <c r="F831" t="s">
        <v>108</v>
      </c>
      <c r="G831" t="s">
        <v>5</v>
      </c>
      <c r="H831" t="s">
        <v>15</v>
      </c>
      <c r="I831" t="s">
        <v>33</v>
      </c>
      <c r="J831" t="s">
        <v>23</v>
      </c>
      <c r="K831">
        <v>1</v>
      </c>
      <c r="L831" t="s">
        <v>533</v>
      </c>
      <c r="M831">
        <v>0.91</v>
      </c>
      <c r="N831" t="s">
        <v>534</v>
      </c>
      <c r="O831" t="s">
        <v>533</v>
      </c>
      <c r="P831">
        <v>37556</v>
      </c>
      <c r="Q831">
        <v>12.14</v>
      </c>
      <c r="R831">
        <v>0.26</v>
      </c>
      <c r="S831" t="b">
        <v>1</v>
      </c>
      <c r="T831">
        <v>1</v>
      </c>
      <c r="U831">
        <v>0</v>
      </c>
      <c r="V831" t="s">
        <v>0</v>
      </c>
    </row>
    <row r="832" spans="1:22" x14ac:dyDescent="0.25">
      <c r="A832" t="s">
        <v>532</v>
      </c>
      <c r="B832">
        <v>2023</v>
      </c>
      <c r="C832" t="s">
        <v>58</v>
      </c>
      <c r="D832" t="s">
        <v>57</v>
      </c>
      <c r="E832" t="s">
        <v>121</v>
      </c>
      <c r="F832" t="s">
        <v>75</v>
      </c>
      <c r="G832" t="s">
        <v>25</v>
      </c>
      <c r="H832" t="s">
        <v>179</v>
      </c>
      <c r="I832" t="s">
        <v>74</v>
      </c>
      <c r="J832" t="s">
        <v>79</v>
      </c>
      <c r="K832">
        <v>1</v>
      </c>
      <c r="L832" t="s">
        <v>169</v>
      </c>
      <c r="M832">
        <v>0.44</v>
      </c>
      <c r="N832" t="s">
        <v>531</v>
      </c>
      <c r="O832" t="s">
        <v>169</v>
      </c>
      <c r="P832">
        <v>132863</v>
      </c>
      <c r="Q832">
        <v>13.01</v>
      </c>
      <c r="R832">
        <v>0.2</v>
      </c>
      <c r="S832" t="b">
        <v>1</v>
      </c>
      <c r="T832">
        <v>3</v>
      </c>
      <c r="U832">
        <v>13</v>
      </c>
      <c r="V832" t="s">
        <v>0</v>
      </c>
    </row>
    <row r="833" spans="1:22" x14ac:dyDescent="0.25">
      <c r="A833" t="s">
        <v>530</v>
      </c>
      <c r="B833">
        <v>2023</v>
      </c>
      <c r="C833" t="s">
        <v>58</v>
      </c>
      <c r="D833" t="s">
        <v>57</v>
      </c>
      <c r="E833" t="s">
        <v>42</v>
      </c>
      <c r="F833" t="s">
        <v>35</v>
      </c>
      <c r="G833" t="s">
        <v>16</v>
      </c>
      <c r="H833" t="s">
        <v>34</v>
      </c>
      <c r="I833" t="s">
        <v>107</v>
      </c>
      <c r="J833" t="s">
        <v>2</v>
      </c>
      <c r="K833">
        <v>0</v>
      </c>
      <c r="M833">
        <v>0.03</v>
      </c>
      <c r="N833" t="s">
        <v>529</v>
      </c>
      <c r="P833">
        <v>80005</v>
      </c>
      <c r="Q833">
        <v>0.77</v>
      </c>
      <c r="R833">
        <v>0.72</v>
      </c>
      <c r="S833" t="b">
        <v>0</v>
      </c>
      <c r="T833">
        <v>1</v>
      </c>
      <c r="U833">
        <v>18</v>
      </c>
      <c r="V833" t="s">
        <v>0</v>
      </c>
    </row>
    <row r="834" spans="1:22" x14ac:dyDescent="0.25">
      <c r="A834" t="s">
        <v>528</v>
      </c>
      <c r="B834">
        <v>2023</v>
      </c>
      <c r="C834" t="s">
        <v>152</v>
      </c>
      <c r="D834" t="s">
        <v>28</v>
      </c>
      <c r="E834" t="s">
        <v>36</v>
      </c>
      <c r="F834" t="s">
        <v>80</v>
      </c>
      <c r="G834" t="s">
        <v>62</v>
      </c>
      <c r="H834" t="s">
        <v>61</v>
      </c>
      <c r="I834" t="s">
        <v>107</v>
      </c>
      <c r="J834" t="s">
        <v>73</v>
      </c>
      <c r="K834">
        <v>0</v>
      </c>
      <c r="M834">
        <v>0.09</v>
      </c>
      <c r="N834" t="s">
        <v>527</v>
      </c>
      <c r="P834">
        <v>43703</v>
      </c>
      <c r="Q834">
        <v>-2.0099999999999998</v>
      </c>
      <c r="R834">
        <v>0.87</v>
      </c>
      <c r="S834" t="b">
        <v>0</v>
      </c>
      <c r="T834">
        <v>1</v>
      </c>
      <c r="U834">
        <v>6</v>
      </c>
      <c r="V834" t="s">
        <v>0</v>
      </c>
    </row>
    <row r="835" spans="1:22" x14ac:dyDescent="0.25">
      <c r="A835" t="s">
        <v>526</v>
      </c>
      <c r="B835">
        <v>2023</v>
      </c>
      <c r="C835" t="s">
        <v>267</v>
      </c>
      <c r="D835" t="s">
        <v>43</v>
      </c>
      <c r="E835" t="s">
        <v>27</v>
      </c>
      <c r="F835" t="s">
        <v>6</v>
      </c>
      <c r="G835" t="s">
        <v>62</v>
      </c>
      <c r="H835" t="s">
        <v>141</v>
      </c>
      <c r="I835" t="s">
        <v>14</v>
      </c>
      <c r="J835" t="s">
        <v>23</v>
      </c>
      <c r="K835">
        <v>1</v>
      </c>
      <c r="L835" t="s">
        <v>524</v>
      </c>
      <c r="M835">
        <v>0.76</v>
      </c>
      <c r="N835" t="s">
        <v>525</v>
      </c>
      <c r="O835" t="s">
        <v>524</v>
      </c>
      <c r="P835">
        <v>124886</v>
      </c>
      <c r="Q835">
        <v>10.49</v>
      </c>
      <c r="R835">
        <v>0.19</v>
      </c>
      <c r="S835" t="b">
        <v>1</v>
      </c>
      <c r="T835">
        <v>1</v>
      </c>
      <c r="U835">
        <v>7</v>
      </c>
      <c r="V835" t="s">
        <v>0</v>
      </c>
    </row>
    <row r="836" spans="1:22" x14ac:dyDescent="0.25">
      <c r="A836" t="s">
        <v>523</v>
      </c>
      <c r="B836">
        <v>2023</v>
      </c>
      <c r="C836" t="s">
        <v>117</v>
      </c>
      <c r="D836" t="s">
        <v>91</v>
      </c>
      <c r="E836" t="s">
        <v>36</v>
      </c>
      <c r="F836" t="s">
        <v>103</v>
      </c>
      <c r="G836" t="s">
        <v>25</v>
      </c>
      <c r="H836" t="s">
        <v>179</v>
      </c>
      <c r="I836" t="s">
        <v>97</v>
      </c>
      <c r="J836" t="s">
        <v>79</v>
      </c>
      <c r="K836">
        <v>1</v>
      </c>
      <c r="L836" t="s">
        <v>521</v>
      </c>
      <c r="M836">
        <v>0.63</v>
      </c>
      <c r="N836" t="s">
        <v>522</v>
      </c>
      <c r="O836" t="s">
        <v>521</v>
      </c>
      <c r="P836">
        <v>88529</v>
      </c>
      <c r="Q836">
        <v>8.9600000000000009</v>
      </c>
      <c r="R836">
        <v>0.19</v>
      </c>
      <c r="S836" t="b">
        <v>1</v>
      </c>
      <c r="T836">
        <v>3</v>
      </c>
      <c r="U836">
        <v>10</v>
      </c>
      <c r="V836" t="s">
        <v>0</v>
      </c>
    </row>
    <row r="837" spans="1:22" x14ac:dyDescent="0.25">
      <c r="A837" t="s">
        <v>520</v>
      </c>
      <c r="B837">
        <v>2023</v>
      </c>
      <c r="C837" t="s">
        <v>51</v>
      </c>
      <c r="D837" t="s">
        <v>18</v>
      </c>
      <c r="E837" t="s">
        <v>86</v>
      </c>
      <c r="F837" t="s">
        <v>69</v>
      </c>
      <c r="G837" t="s">
        <v>135</v>
      </c>
      <c r="H837" t="s">
        <v>85</v>
      </c>
      <c r="I837" t="s">
        <v>74</v>
      </c>
      <c r="J837" t="s">
        <v>23</v>
      </c>
      <c r="K837">
        <v>1</v>
      </c>
      <c r="L837" t="s">
        <v>518</v>
      </c>
      <c r="M837">
        <v>0.61</v>
      </c>
      <c r="N837" t="s">
        <v>519</v>
      </c>
      <c r="O837" t="s">
        <v>518</v>
      </c>
      <c r="P837">
        <v>121237</v>
      </c>
      <c r="Q837">
        <v>8.82</v>
      </c>
      <c r="R837">
        <v>0.11</v>
      </c>
      <c r="S837" t="b">
        <v>1</v>
      </c>
      <c r="T837">
        <v>3</v>
      </c>
      <c r="U837">
        <v>16</v>
      </c>
      <c r="V837" t="s">
        <v>0</v>
      </c>
    </row>
    <row r="838" spans="1:22" x14ac:dyDescent="0.25">
      <c r="A838" t="s">
        <v>517</v>
      </c>
      <c r="B838">
        <v>2023</v>
      </c>
      <c r="C838" t="s">
        <v>152</v>
      </c>
      <c r="D838" t="s">
        <v>28</v>
      </c>
      <c r="E838" t="s">
        <v>182</v>
      </c>
      <c r="F838" t="s">
        <v>26</v>
      </c>
      <c r="G838" t="s">
        <v>62</v>
      </c>
      <c r="H838" t="s">
        <v>141</v>
      </c>
      <c r="I838" t="s">
        <v>68</v>
      </c>
      <c r="J838" t="s">
        <v>23</v>
      </c>
      <c r="K838">
        <v>1</v>
      </c>
      <c r="L838" t="s">
        <v>515</v>
      </c>
      <c r="M838">
        <v>0.95</v>
      </c>
      <c r="N838" t="s">
        <v>516</v>
      </c>
      <c r="O838" t="s">
        <v>515</v>
      </c>
      <c r="P838">
        <v>72759</v>
      </c>
      <c r="Q838">
        <v>17.37</v>
      </c>
      <c r="R838">
        <v>0.33</v>
      </c>
      <c r="S838" t="b">
        <v>1</v>
      </c>
      <c r="T838">
        <v>2</v>
      </c>
      <c r="U838">
        <v>15</v>
      </c>
      <c r="V838" t="s">
        <v>0</v>
      </c>
    </row>
    <row r="839" spans="1:22" x14ac:dyDescent="0.25">
      <c r="A839" t="s">
        <v>514</v>
      </c>
      <c r="B839">
        <v>2023</v>
      </c>
      <c r="C839" t="s">
        <v>171</v>
      </c>
      <c r="D839" t="s">
        <v>57</v>
      </c>
      <c r="E839" t="s">
        <v>27</v>
      </c>
      <c r="F839" t="s">
        <v>124</v>
      </c>
      <c r="G839" t="s">
        <v>5</v>
      </c>
      <c r="H839" t="s">
        <v>102</v>
      </c>
      <c r="I839" t="s">
        <v>24</v>
      </c>
      <c r="J839" t="s">
        <v>23</v>
      </c>
      <c r="K839">
        <v>1</v>
      </c>
      <c r="L839" t="s">
        <v>47</v>
      </c>
      <c r="M839">
        <v>0.65</v>
      </c>
      <c r="N839" t="s">
        <v>513</v>
      </c>
      <c r="O839" t="s">
        <v>47</v>
      </c>
      <c r="P839">
        <v>109416</v>
      </c>
      <c r="Q839">
        <v>12.79</v>
      </c>
      <c r="R839">
        <v>0.21</v>
      </c>
      <c r="S839" t="b">
        <v>1</v>
      </c>
      <c r="T839">
        <v>2</v>
      </c>
      <c r="U839">
        <v>10</v>
      </c>
      <c r="V839" t="s">
        <v>46</v>
      </c>
    </row>
    <row r="840" spans="1:22" x14ac:dyDescent="0.25">
      <c r="A840" t="s">
        <v>512</v>
      </c>
      <c r="B840">
        <v>2023</v>
      </c>
      <c r="C840" t="s">
        <v>358</v>
      </c>
      <c r="D840" t="s">
        <v>131</v>
      </c>
      <c r="E840" t="s">
        <v>17</v>
      </c>
      <c r="F840" t="s">
        <v>103</v>
      </c>
      <c r="G840" t="s">
        <v>135</v>
      </c>
      <c r="H840" t="s">
        <v>85</v>
      </c>
      <c r="I840" t="s">
        <v>3</v>
      </c>
      <c r="J840" t="s">
        <v>73</v>
      </c>
      <c r="K840">
        <v>1</v>
      </c>
      <c r="L840" t="s">
        <v>240</v>
      </c>
      <c r="M840">
        <v>0.9</v>
      </c>
      <c r="N840" t="s">
        <v>511</v>
      </c>
      <c r="O840" t="s">
        <v>240</v>
      </c>
      <c r="P840">
        <v>61501</v>
      </c>
      <c r="Q840">
        <v>8.5399999999999991</v>
      </c>
      <c r="R840">
        <v>0.22</v>
      </c>
      <c r="S840" t="b">
        <v>1</v>
      </c>
      <c r="T840">
        <v>3</v>
      </c>
      <c r="U840">
        <v>10</v>
      </c>
      <c r="V840" t="s">
        <v>0</v>
      </c>
    </row>
    <row r="841" spans="1:22" x14ac:dyDescent="0.25">
      <c r="A841" t="s">
        <v>510</v>
      </c>
      <c r="B841">
        <v>2023</v>
      </c>
      <c r="C841" t="s">
        <v>58</v>
      </c>
      <c r="D841" t="s">
        <v>57</v>
      </c>
      <c r="E841" t="s">
        <v>36</v>
      </c>
      <c r="F841" t="s">
        <v>103</v>
      </c>
      <c r="G841" t="s">
        <v>62</v>
      </c>
      <c r="H841" t="s">
        <v>102</v>
      </c>
      <c r="I841" t="s">
        <v>74</v>
      </c>
      <c r="J841" t="s">
        <v>79</v>
      </c>
      <c r="K841">
        <v>1</v>
      </c>
      <c r="L841" t="s">
        <v>508</v>
      </c>
      <c r="M841">
        <v>0.45</v>
      </c>
      <c r="N841" t="s">
        <v>509</v>
      </c>
      <c r="O841" t="s">
        <v>508</v>
      </c>
      <c r="P841">
        <v>121568</v>
      </c>
      <c r="Q841">
        <v>14.66</v>
      </c>
      <c r="R841">
        <v>0.37</v>
      </c>
      <c r="S841" t="b">
        <v>1</v>
      </c>
      <c r="T841">
        <v>2</v>
      </c>
      <c r="U841">
        <v>4</v>
      </c>
      <c r="V841" t="s">
        <v>46</v>
      </c>
    </row>
    <row r="842" spans="1:22" x14ac:dyDescent="0.25">
      <c r="A842" t="s">
        <v>507</v>
      </c>
      <c r="B842">
        <v>2023</v>
      </c>
      <c r="C842" t="s">
        <v>51</v>
      </c>
      <c r="D842" t="s">
        <v>18</v>
      </c>
      <c r="E842" t="s">
        <v>121</v>
      </c>
      <c r="F842" t="s">
        <v>69</v>
      </c>
      <c r="G842" t="s">
        <v>25</v>
      </c>
      <c r="H842" t="s">
        <v>85</v>
      </c>
      <c r="I842" t="s">
        <v>97</v>
      </c>
      <c r="J842" t="s">
        <v>96</v>
      </c>
      <c r="K842">
        <v>1</v>
      </c>
      <c r="L842" t="s">
        <v>47</v>
      </c>
      <c r="M842">
        <v>0.66</v>
      </c>
      <c r="N842" t="s">
        <v>506</v>
      </c>
      <c r="O842" t="s">
        <v>47</v>
      </c>
      <c r="P842">
        <v>114287</v>
      </c>
      <c r="Q842">
        <v>8.81</v>
      </c>
      <c r="R842">
        <v>0.22</v>
      </c>
      <c r="S842" t="b">
        <v>1</v>
      </c>
      <c r="T842">
        <v>1</v>
      </c>
      <c r="U842">
        <v>5</v>
      </c>
      <c r="V842" t="s">
        <v>0</v>
      </c>
    </row>
    <row r="843" spans="1:22" x14ac:dyDescent="0.25">
      <c r="A843" t="s">
        <v>505</v>
      </c>
      <c r="B843">
        <v>2023</v>
      </c>
      <c r="C843" t="s">
        <v>407</v>
      </c>
      <c r="D843" t="s">
        <v>131</v>
      </c>
      <c r="E843" t="s">
        <v>7</v>
      </c>
      <c r="F843" t="s">
        <v>136</v>
      </c>
      <c r="G843" t="s">
        <v>25</v>
      </c>
      <c r="H843" t="s">
        <v>141</v>
      </c>
      <c r="I843" t="s">
        <v>107</v>
      </c>
      <c r="J843" t="s">
        <v>73</v>
      </c>
      <c r="K843">
        <v>0</v>
      </c>
      <c r="M843">
        <v>0.04</v>
      </c>
      <c r="N843" t="s">
        <v>504</v>
      </c>
      <c r="P843">
        <v>37772</v>
      </c>
      <c r="Q843">
        <v>0.19</v>
      </c>
      <c r="R843">
        <v>0.72</v>
      </c>
      <c r="S843" t="b">
        <v>0</v>
      </c>
      <c r="T843">
        <v>1</v>
      </c>
      <c r="U843">
        <v>4</v>
      </c>
      <c r="V843" t="s">
        <v>0</v>
      </c>
    </row>
    <row r="844" spans="1:22" x14ac:dyDescent="0.25">
      <c r="A844" t="s">
        <v>503</v>
      </c>
      <c r="B844">
        <v>2023</v>
      </c>
      <c r="C844" t="s">
        <v>236</v>
      </c>
      <c r="D844" t="s">
        <v>131</v>
      </c>
      <c r="E844" t="s">
        <v>7</v>
      </c>
      <c r="F844" t="s">
        <v>6</v>
      </c>
      <c r="G844" t="s">
        <v>135</v>
      </c>
      <c r="H844" t="s">
        <v>102</v>
      </c>
      <c r="I844" t="s">
        <v>90</v>
      </c>
      <c r="J844" t="s">
        <v>2</v>
      </c>
      <c r="K844">
        <v>1</v>
      </c>
      <c r="L844" t="s">
        <v>501</v>
      </c>
      <c r="M844">
        <v>0.64</v>
      </c>
      <c r="N844" t="s">
        <v>502</v>
      </c>
      <c r="O844" t="s">
        <v>501</v>
      </c>
      <c r="P844">
        <v>66142</v>
      </c>
      <c r="Q844">
        <v>5.31</v>
      </c>
      <c r="R844">
        <v>0.16</v>
      </c>
      <c r="S844" t="b">
        <v>1</v>
      </c>
      <c r="T844">
        <v>1</v>
      </c>
      <c r="U844">
        <v>4</v>
      </c>
      <c r="V844" t="s">
        <v>46</v>
      </c>
    </row>
    <row r="845" spans="1:22" x14ac:dyDescent="0.25">
      <c r="A845" t="s">
        <v>500</v>
      </c>
      <c r="B845">
        <v>2023</v>
      </c>
      <c r="C845" t="s">
        <v>117</v>
      </c>
      <c r="D845" t="s">
        <v>91</v>
      </c>
      <c r="E845" t="s">
        <v>42</v>
      </c>
      <c r="F845" t="s">
        <v>115</v>
      </c>
      <c r="G845" t="s">
        <v>62</v>
      </c>
      <c r="H845" t="s">
        <v>85</v>
      </c>
      <c r="I845" t="s">
        <v>24</v>
      </c>
      <c r="J845" t="s">
        <v>13</v>
      </c>
      <c r="K845">
        <v>0</v>
      </c>
      <c r="M845">
        <v>0.11</v>
      </c>
      <c r="N845" t="s">
        <v>499</v>
      </c>
      <c r="P845">
        <v>72728</v>
      </c>
      <c r="Q845">
        <v>4.68</v>
      </c>
      <c r="R845">
        <v>0.68</v>
      </c>
      <c r="S845" t="b">
        <v>0</v>
      </c>
      <c r="T845">
        <v>1</v>
      </c>
      <c r="U845">
        <v>2</v>
      </c>
      <c r="V845" t="s">
        <v>0</v>
      </c>
    </row>
    <row r="846" spans="1:22" x14ac:dyDescent="0.25">
      <c r="A846" t="s">
        <v>498</v>
      </c>
      <c r="B846">
        <v>2023</v>
      </c>
      <c r="C846" t="s">
        <v>65</v>
      </c>
      <c r="D846" t="s">
        <v>64</v>
      </c>
      <c r="E846" t="s">
        <v>182</v>
      </c>
      <c r="F846" t="s">
        <v>103</v>
      </c>
      <c r="G846" t="s">
        <v>5</v>
      </c>
      <c r="H846" t="s">
        <v>15</v>
      </c>
      <c r="I846" t="s">
        <v>3</v>
      </c>
      <c r="J846" t="s">
        <v>13</v>
      </c>
      <c r="K846">
        <v>1</v>
      </c>
      <c r="L846" t="s">
        <v>150</v>
      </c>
      <c r="M846">
        <v>0.76</v>
      </c>
      <c r="N846" t="s">
        <v>497</v>
      </c>
      <c r="O846" t="s">
        <v>150</v>
      </c>
      <c r="P846">
        <v>154995</v>
      </c>
      <c r="Q846">
        <v>16.39</v>
      </c>
      <c r="R846">
        <v>0.31</v>
      </c>
      <c r="S846" t="b">
        <v>1</v>
      </c>
      <c r="T846">
        <v>3</v>
      </c>
      <c r="U846">
        <v>1</v>
      </c>
      <c r="V846" t="s">
        <v>0</v>
      </c>
    </row>
    <row r="847" spans="1:22" x14ac:dyDescent="0.25">
      <c r="A847" t="s">
        <v>496</v>
      </c>
      <c r="B847">
        <v>2023</v>
      </c>
      <c r="C847" t="s">
        <v>378</v>
      </c>
      <c r="D847" t="s">
        <v>43</v>
      </c>
      <c r="E847" t="s">
        <v>17</v>
      </c>
      <c r="F847" t="s">
        <v>35</v>
      </c>
      <c r="G847" t="s">
        <v>5</v>
      </c>
      <c r="H847" t="s">
        <v>179</v>
      </c>
      <c r="I847" t="s">
        <v>90</v>
      </c>
      <c r="J847" t="s">
        <v>73</v>
      </c>
      <c r="K847">
        <v>1</v>
      </c>
      <c r="L847" t="s">
        <v>494</v>
      </c>
      <c r="M847">
        <v>0.76</v>
      </c>
      <c r="N847" t="s">
        <v>495</v>
      </c>
      <c r="O847" t="s">
        <v>494</v>
      </c>
      <c r="P847">
        <v>115035</v>
      </c>
      <c r="Q847">
        <v>12.01</v>
      </c>
      <c r="R847">
        <v>0.3</v>
      </c>
      <c r="S847" t="b">
        <v>1</v>
      </c>
      <c r="T847">
        <v>3</v>
      </c>
      <c r="U847">
        <v>12</v>
      </c>
      <c r="V847" t="s">
        <v>0</v>
      </c>
    </row>
    <row r="848" spans="1:22" x14ac:dyDescent="0.25">
      <c r="A848" t="s">
        <v>493</v>
      </c>
      <c r="B848">
        <v>2023</v>
      </c>
      <c r="C848" t="s">
        <v>304</v>
      </c>
      <c r="D848" t="s">
        <v>131</v>
      </c>
      <c r="E848" t="s">
        <v>147</v>
      </c>
      <c r="F848" t="s">
        <v>55</v>
      </c>
      <c r="G848" t="s">
        <v>135</v>
      </c>
      <c r="H848" t="s">
        <v>4</v>
      </c>
      <c r="I848" t="s">
        <v>24</v>
      </c>
      <c r="J848" t="s">
        <v>73</v>
      </c>
      <c r="K848">
        <v>0</v>
      </c>
      <c r="M848">
        <v>0.06</v>
      </c>
      <c r="N848" t="s">
        <v>492</v>
      </c>
      <c r="P848">
        <v>45116</v>
      </c>
      <c r="Q848">
        <v>-0.67</v>
      </c>
      <c r="R848">
        <v>0.61</v>
      </c>
      <c r="S848" t="b">
        <v>0</v>
      </c>
      <c r="T848">
        <v>2</v>
      </c>
      <c r="U848">
        <v>17</v>
      </c>
      <c r="V848" t="s">
        <v>0</v>
      </c>
    </row>
    <row r="849" spans="1:22" x14ac:dyDescent="0.25">
      <c r="A849" t="s">
        <v>491</v>
      </c>
      <c r="B849">
        <v>2023</v>
      </c>
      <c r="C849" t="s">
        <v>81</v>
      </c>
      <c r="D849" t="s">
        <v>28</v>
      </c>
      <c r="E849" t="s">
        <v>7</v>
      </c>
      <c r="F849" t="s">
        <v>41</v>
      </c>
      <c r="G849" t="s">
        <v>25</v>
      </c>
      <c r="H849" t="s">
        <v>15</v>
      </c>
      <c r="I849" t="s">
        <v>3</v>
      </c>
      <c r="J849" t="s">
        <v>13</v>
      </c>
      <c r="K849">
        <v>1</v>
      </c>
      <c r="L849" t="s">
        <v>489</v>
      </c>
      <c r="M849">
        <v>0.56999999999999995</v>
      </c>
      <c r="N849" t="s">
        <v>490</v>
      </c>
      <c r="O849" t="s">
        <v>489</v>
      </c>
      <c r="P849">
        <v>71216</v>
      </c>
      <c r="Q849">
        <v>5.5</v>
      </c>
      <c r="R849">
        <v>0.17</v>
      </c>
      <c r="S849" t="b">
        <v>1</v>
      </c>
      <c r="T849">
        <v>2</v>
      </c>
      <c r="U849">
        <v>0</v>
      </c>
      <c r="V849" t="s">
        <v>0</v>
      </c>
    </row>
    <row r="850" spans="1:22" x14ac:dyDescent="0.25">
      <c r="A850" t="s">
        <v>488</v>
      </c>
      <c r="B850">
        <v>2023</v>
      </c>
      <c r="C850" t="s">
        <v>9</v>
      </c>
      <c r="D850" t="s">
        <v>8</v>
      </c>
      <c r="E850" t="s">
        <v>182</v>
      </c>
      <c r="F850" t="s">
        <v>108</v>
      </c>
      <c r="G850" t="s">
        <v>25</v>
      </c>
      <c r="H850" t="s">
        <v>49</v>
      </c>
      <c r="I850" t="s">
        <v>14</v>
      </c>
      <c r="J850" t="s">
        <v>79</v>
      </c>
      <c r="K850">
        <v>1</v>
      </c>
      <c r="L850" t="s">
        <v>486</v>
      </c>
      <c r="M850">
        <v>0.75</v>
      </c>
      <c r="N850" t="s">
        <v>487</v>
      </c>
      <c r="O850" t="s">
        <v>486</v>
      </c>
      <c r="P850">
        <v>42112</v>
      </c>
      <c r="Q850">
        <v>14.72</v>
      </c>
      <c r="R850">
        <v>0.12</v>
      </c>
      <c r="S850" t="b">
        <v>1</v>
      </c>
      <c r="T850">
        <v>1</v>
      </c>
      <c r="U850">
        <v>0</v>
      </c>
      <c r="V850" t="s">
        <v>46</v>
      </c>
    </row>
    <row r="851" spans="1:22" x14ac:dyDescent="0.25">
      <c r="A851" t="s">
        <v>485</v>
      </c>
      <c r="B851">
        <v>2023</v>
      </c>
      <c r="C851" t="s">
        <v>44</v>
      </c>
      <c r="D851" t="s">
        <v>43</v>
      </c>
      <c r="E851" t="s">
        <v>130</v>
      </c>
      <c r="F851" t="s">
        <v>26</v>
      </c>
      <c r="G851" t="s">
        <v>25</v>
      </c>
      <c r="H851" t="s">
        <v>102</v>
      </c>
      <c r="I851" t="s">
        <v>68</v>
      </c>
      <c r="J851" t="s">
        <v>23</v>
      </c>
      <c r="K851">
        <v>0</v>
      </c>
      <c r="M851">
        <v>0.12</v>
      </c>
      <c r="N851" t="s">
        <v>484</v>
      </c>
      <c r="P851">
        <v>89150</v>
      </c>
      <c r="Q851">
        <v>3.42</v>
      </c>
      <c r="R851">
        <v>0.75</v>
      </c>
      <c r="S851" t="b">
        <v>0</v>
      </c>
      <c r="T851">
        <v>3</v>
      </c>
      <c r="U851">
        <v>13</v>
      </c>
      <c r="V851" t="s">
        <v>46</v>
      </c>
    </row>
    <row r="852" spans="1:22" x14ac:dyDescent="0.25">
      <c r="A852" t="s">
        <v>483</v>
      </c>
      <c r="B852">
        <v>2023</v>
      </c>
      <c r="C852" t="s">
        <v>287</v>
      </c>
      <c r="D852" t="s">
        <v>43</v>
      </c>
      <c r="E852" t="s">
        <v>147</v>
      </c>
      <c r="F852" t="s">
        <v>41</v>
      </c>
      <c r="G852" t="s">
        <v>135</v>
      </c>
      <c r="H852" t="s">
        <v>15</v>
      </c>
      <c r="I852" t="s">
        <v>74</v>
      </c>
      <c r="J852" t="s">
        <v>96</v>
      </c>
      <c r="K852">
        <v>1</v>
      </c>
      <c r="L852" t="s">
        <v>481</v>
      </c>
      <c r="M852">
        <v>0.48</v>
      </c>
      <c r="N852" t="s">
        <v>482</v>
      </c>
      <c r="O852" t="s">
        <v>481</v>
      </c>
      <c r="P852">
        <v>114740</v>
      </c>
      <c r="Q852">
        <v>10.49</v>
      </c>
      <c r="R852">
        <v>0.28999999999999998</v>
      </c>
      <c r="S852" t="b">
        <v>1</v>
      </c>
      <c r="T852">
        <v>1</v>
      </c>
      <c r="U852">
        <v>0</v>
      </c>
      <c r="V852" t="s">
        <v>0</v>
      </c>
    </row>
    <row r="853" spans="1:22" x14ac:dyDescent="0.25">
      <c r="A853" t="s">
        <v>480</v>
      </c>
      <c r="B853">
        <v>2023</v>
      </c>
      <c r="C853" t="s">
        <v>19</v>
      </c>
      <c r="D853" t="s">
        <v>18</v>
      </c>
      <c r="E853" t="s">
        <v>50</v>
      </c>
      <c r="F853" t="s">
        <v>124</v>
      </c>
      <c r="G853" t="s">
        <v>62</v>
      </c>
      <c r="H853" t="s">
        <v>85</v>
      </c>
      <c r="I853" t="s">
        <v>74</v>
      </c>
      <c r="J853" t="s">
        <v>79</v>
      </c>
      <c r="K853">
        <v>1</v>
      </c>
      <c r="L853" t="s">
        <v>169</v>
      </c>
      <c r="M853">
        <v>0.8</v>
      </c>
      <c r="N853" t="s">
        <v>479</v>
      </c>
      <c r="O853" t="s">
        <v>169</v>
      </c>
      <c r="P853">
        <v>102803</v>
      </c>
      <c r="Q853">
        <v>12.23</v>
      </c>
      <c r="R853">
        <v>0.25</v>
      </c>
      <c r="S853" t="b">
        <v>1</v>
      </c>
      <c r="T853">
        <v>3</v>
      </c>
      <c r="U853">
        <v>1</v>
      </c>
      <c r="V853" t="s">
        <v>0</v>
      </c>
    </row>
    <row r="854" spans="1:22" x14ac:dyDescent="0.25">
      <c r="A854" t="s">
        <v>478</v>
      </c>
      <c r="B854">
        <v>2023</v>
      </c>
      <c r="C854" t="s">
        <v>81</v>
      </c>
      <c r="D854" t="s">
        <v>28</v>
      </c>
      <c r="E854" t="s">
        <v>17</v>
      </c>
      <c r="F854" t="s">
        <v>69</v>
      </c>
      <c r="G854" t="s">
        <v>25</v>
      </c>
      <c r="H854" t="s">
        <v>141</v>
      </c>
      <c r="I854" t="s">
        <v>97</v>
      </c>
      <c r="J854" t="s">
        <v>13</v>
      </c>
      <c r="K854">
        <v>0</v>
      </c>
      <c r="M854">
        <v>0</v>
      </c>
      <c r="N854" t="s">
        <v>477</v>
      </c>
      <c r="P854">
        <v>44050</v>
      </c>
      <c r="Q854">
        <v>3.2</v>
      </c>
      <c r="R854">
        <v>0.9</v>
      </c>
      <c r="S854" t="b">
        <v>0</v>
      </c>
      <c r="T854">
        <v>3</v>
      </c>
      <c r="U854">
        <v>12</v>
      </c>
      <c r="V854" t="s">
        <v>0</v>
      </c>
    </row>
    <row r="855" spans="1:22" x14ac:dyDescent="0.25">
      <c r="A855" t="s">
        <v>476</v>
      </c>
      <c r="B855">
        <v>2023</v>
      </c>
      <c r="C855" t="s">
        <v>161</v>
      </c>
      <c r="D855" t="s">
        <v>8</v>
      </c>
      <c r="E855" t="s">
        <v>50</v>
      </c>
      <c r="F855" t="s">
        <v>6</v>
      </c>
      <c r="G855" t="s">
        <v>25</v>
      </c>
      <c r="H855" t="s">
        <v>141</v>
      </c>
      <c r="I855" t="s">
        <v>3</v>
      </c>
      <c r="J855" t="s">
        <v>96</v>
      </c>
      <c r="K855">
        <v>1</v>
      </c>
      <c r="L855" t="s">
        <v>47</v>
      </c>
      <c r="M855">
        <v>0.74</v>
      </c>
      <c r="N855" t="s">
        <v>475</v>
      </c>
      <c r="O855" t="s">
        <v>47</v>
      </c>
      <c r="P855">
        <v>38748</v>
      </c>
      <c r="Q855">
        <v>14.92</v>
      </c>
      <c r="R855">
        <v>0.28999999999999998</v>
      </c>
      <c r="S855" t="b">
        <v>1</v>
      </c>
      <c r="T855">
        <v>3</v>
      </c>
      <c r="U855">
        <v>0</v>
      </c>
      <c r="V855" t="s">
        <v>0</v>
      </c>
    </row>
    <row r="856" spans="1:22" x14ac:dyDescent="0.25">
      <c r="A856" t="s">
        <v>474</v>
      </c>
      <c r="B856">
        <v>2023</v>
      </c>
      <c r="C856" t="s">
        <v>117</v>
      </c>
      <c r="D856" t="s">
        <v>91</v>
      </c>
      <c r="E856" t="s">
        <v>36</v>
      </c>
      <c r="F856" t="s">
        <v>26</v>
      </c>
      <c r="G856" t="s">
        <v>25</v>
      </c>
      <c r="H856" t="s">
        <v>61</v>
      </c>
      <c r="I856" t="s">
        <v>97</v>
      </c>
      <c r="J856" t="s">
        <v>13</v>
      </c>
      <c r="K856">
        <v>1</v>
      </c>
      <c r="L856" t="s">
        <v>240</v>
      </c>
      <c r="M856">
        <v>0.74</v>
      </c>
      <c r="N856" t="s">
        <v>473</v>
      </c>
      <c r="O856" t="s">
        <v>240</v>
      </c>
      <c r="P856">
        <v>83375</v>
      </c>
      <c r="Q856">
        <v>12.25</v>
      </c>
      <c r="R856">
        <v>0.15</v>
      </c>
      <c r="S856" t="b">
        <v>1</v>
      </c>
      <c r="T856">
        <v>3</v>
      </c>
      <c r="U856">
        <v>19</v>
      </c>
      <c r="V856" t="s">
        <v>0</v>
      </c>
    </row>
    <row r="857" spans="1:22" x14ac:dyDescent="0.25">
      <c r="A857" t="s">
        <v>472</v>
      </c>
      <c r="B857">
        <v>2023</v>
      </c>
      <c r="C857" t="s">
        <v>358</v>
      </c>
      <c r="D857" t="s">
        <v>131</v>
      </c>
      <c r="E857" t="s">
        <v>7</v>
      </c>
      <c r="F857" t="s">
        <v>156</v>
      </c>
      <c r="G857" t="s">
        <v>25</v>
      </c>
      <c r="H857" t="s">
        <v>34</v>
      </c>
      <c r="I857" t="s">
        <v>40</v>
      </c>
      <c r="J857" t="s">
        <v>96</v>
      </c>
      <c r="K857">
        <v>1</v>
      </c>
      <c r="L857" t="s">
        <v>110</v>
      </c>
      <c r="M857">
        <v>0.7</v>
      </c>
      <c r="N857" t="s">
        <v>471</v>
      </c>
      <c r="O857" t="s">
        <v>110</v>
      </c>
      <c r="P857">
        <v>67065</v>
      </c>
      <c r="Q857">
        <v>10.31</v>
      </c>
      <c r="R857">
        <v>0.2</v>
      </c>
      <c r="S857" t="b">
        <v>1</v>
      </c>
      <c r="T857">
        <v>2</v>
      </c>
      <c r="U857">
        <v>15</v>
      </c>
      <c r="V857" t="s">
        <v>0</v>
      </c>
    </row>
    <row r="858" spans="1:22" x14ac:dyDescent="0.25">
      <c r="A858" t="s">
        <v>470</v>
      </c>
      <c r="B858">
        <v>2023</v>
      </c>
      <c r="C858" t="s">
        <v>311</v>
      </c>
      <c r="D858" t="s">
        <v>125</v>
      </c>
      <c r="E858" t="s">
        <v>7</v>
      </c>
      <c r="F858" t="s">
        <v>80</v>
      </c>
      <c r="G858" t="s">
        <v>25</v>
      </c>
      <c r="H858" t="s">
        <v>85</v>
      </c>
      <c r="I858" t="s">
        <v>3</v>
      </c>
      <c r="J858" t="s">
        <v>73</v>
      </c>
      <c r="K858">
        <v>0</v>
      </c>
      <c r="M858">
        <v>0.13</v>
      </c>
      <c r="N858" t="s">
        <v>469</v>
      </c>
      <c r="P858">
        <v>23504</v>
      </c>
      <c r="Q858">
        <v>1.06</v>
      </c>
      <c r="R858">
        <v>0.85</v>
      </c>
      <c r="S858" t="b">
        <v>0</v>
      </c>
      <c r="T858">
        <v>1</v>
      </c>
      <c r="U858">
        <v>11</v>
      </c>
      <c r="V858" t="s">
        <v>0</v>
      </c>
    </row>
    <row r="859" spans="1:22" x14ac:dyDescent="0.25">
      <c r="A859" t="s">
        <v>468</v>
      </c>
      <c r="B859">
        <v>2023</v>
      </c>
      <c r="C859" t="s">
        <v>236</v>
      </c>
      <c r="D859" t="s">
        <v>131</v>
      </c>
      <c r="E859" t="s">
        <v>50</v>
      </c>
      <c r="F859" t="s">
        <v>41</v>
      </c>
      <c r="G859" t="s">
        <v>25</v>
      </c>
      <c r="H859" t="s">
        <v>85</v>
      </c>
      <c r="I859" t="s">
        <v>97</v>
      </c>
      <c r="J859" t="s">
        <v>13</v>
      </c>
      <c r="K859">
        <v>1</v>
      </c>
      <c r="L859" t="s">
        <v>466</v>
      </c>
      <c r="M859">
        <v>0.86</v>
      </c>
      <c r="N859" t="s">
        <v>467</v>
      </c>
      <c r="O859" t="s">
        <v>466</v>
      </c>
      <c r="P859">
        <v>66187</v>
      </c>
      <c r="Q859">
        <v>8.27</v>
      </c>
      <c r="R859">
        <v>0.35</v>
      </c>
      <c r="S859" t="b">
        <v>1</v>
      </c>
      <c r="T859">
        <v>1</v>
      </c>
      <c r="U859">
        <v>16</v>
      </c>
      <c r="V859" t="s">
        <v>0</v>
      </c>
    </row>
    <row r="860" spans="1:22" x14ac:dyDescent="0.25">
      <c r="A860" t="s">
        <v>465</v>
      </c>
      <c r="B860">
        <v>2023</v>
      </c>
      <c r="C860" t="s">
        <v>333</v>
      </c>
      <c r="D860" t="s">
        <v>28</v>
      </c>
      <c r="E860" t="s">
        <v>182</v>
      </c>
      <c r="F860" t="s">
        <v>6</v>
      </c>
      <c r="G860" t="s">
        <v>5</v>
      </c>
      <c r="H860" t="s">
        <v>102</v>
      </c>
      <c r="I860" t="s">
        <v>97</v>
      </c>
      <c r="J860" t="s">
        <v>73</v>
      </c>
      <c r="K860">
        <v>0</v>
      </c>
      <c r="M860">
        <v>0.13</v>
      </c>
      <c r="N860" t="s">
        <v>464</v>
      </c>
      <c r="P860">
        <v>43936</v>
      </c>
      <c r="Q860">
        <v>-2.16</v>
      </c>
      <c r="R860">
        <v>0.87</v>
      </c>
      <c r="S860" t="b">
        <v>0</v>
      </c>
      <c r="T860">
        <v>2</v>
      </c>
      <c r="U860">
        <v>1</v>
      </c>
      <c r="V860" t="s">
        <v>46</v>
      </c>
    </row>
    <row r="861" spans="1:22" x14ac:dyDescent="0.25">
      <c r="A861" t="s">
        <v>463</v>
      </c>
      <c r="B861">
        <v>2023</v>
      </c>
      <c r="C861" t="s">
        <v>220</v>
      </c>
      <c r="D861" t="s">
        <v>91</v>
      </c>
      <c r="E861" t="s">
        <v>56</v>
      </c>
      <c r="F861" t="s">
        <v>35</v>
      </c>
      <c r="G861" t="s">
        <v>5</v>
      </c>
      <c r="H861" t="s">
        <v>179</v>
      </c>
      <c r="I861" t="s">
        <v>68</v>
      </c>
      <c r="J861" t="s">
        <v>23</v>
      </c>
      <c r="K861">
        <v>0</v>
      </c>
      <c r="M861">
        <v>7.0000000000000007E-2</v>
      </c>
      <c r="N861" t="s">
        <v>462</v>
      </c>
      <c r="P861">
        <v>77682</v>
      </c>
      <c r="Q861">
        <v>0.71</v>
      </c>
      <c r="R861">
        <v>0.83</v>
      </c>
      <c r="S861" t="b">
        <v>0</v>
      </c>
      <c r="T861">
        <v>2</v>
      </c>
      <c r="U861">
        <v>8</v>
      </c>
      <c r="V861" t="s">
        <v>0</v>
      </c>
    </row>
    <row r="862" spans="1:22" x14ac:dyDescent="0.25">
      <c r="A862" t="s">
        <v>461</v>
      </c>
      <c r="B862">
        <v>2023</v>
      </c>
      <c r="C862" t="s">
        <v>413</v>
      </c>
      <c r="D862" t="s">
        <v>8</v>
      </c>
      <c r="E862" t="s">
        <v>7</v>
      </c>
      <c r="F862" t="s">
        <v>63</v>
      </c>
      <c r="G862" t="s">
        <v>16</v>
      </c>
      <c r="H862" t="s">
        <v>49</v>
      </c>
      <c r="I862" t="s">
        <v>24</v>
      </c>
      <c r="J862" t="s">
        <v>13</v>
      </c>
      <c r="K862">
        <v>0</v>
      </c>
      <c r="M862">
        <v>0.05</v>
      </c>
      <c r="N862" t="s">
        <v>460</v>
      </c>
      <c r="P862">
        <v>30443</v>
      </c>
      <c r="Q862">
        <v>2.94</v>
      </c>
      <c r="R862">
        <v>0.62</v>
      </c>
      <c r="S862" t="b">
        <v>0</v>
      </c>
      <c r="T862">
        <v>2</v>
      </c>
      <c r="U862">
        <v>8</v>
      </c>
      <c r="V862" t="s">
        <v>46</v>
      </c>
    </row>
    <row r="863" spans="1:22" x14ac:dyDescent="0.25">
      <c r="A863" t="s">
        <v>459</v>
      </c>
      <c r="B863">
        <v>2023</v>
      </c>
      <c r="C863" t="s">
        <v>148</v>
      </c>
      <c r="D863" t="s">
        <v>28</v>
      </c>
      <c r="E863" t="s">
        <v>27</v>
      </c>
      <c r="F863" t="s">
        <v>35</v>
      </c>
      <c r="G863" t="s">
        <v>135</v>
      </c>
      <c r="H863" t="s">
        <v>4</v>
      </c>
      <c r="I863" t="s">
        <v>68</v>
      </c>
      <c r="J863" t="s">
        <v>23</v>
      </c>
      <c r="K863">
        <v>0</v>
      </c>
      <c r="M863">
        <v>0.18</v>
      </c>
      <c r="N863" t="s">
        <v>458</v>
      </c>
      <c r="P863">
        <v>51732</v>
      </c>
      <c r="Q863">
        <v>1.58</v>
      </c>
      <c r="R863">
        <v>0.77</v>
      </c>
      <c r="S863" t="b">
        <v>0</v>
      </c>
      <c r="T863">
        <v>2</v>
      </c>
      <c r="U863">
        <v>1</v>
      </c>
      <c r="V863" t="s">
        <v>0</v>
      </c>
    </row>
    <row r="864" spans="1:22" x14ac:dyDescent="0.25">
      <c r="A864" t="s">
        <v>457</v>
      </c>
      <c r="B864">
        <v>2023</v>
      </c>
      <c r="C864" t="s">
        <v>183</v>
      </c>
      <c r="D864" t="s">
        <v>131</v>
      </c>
      <c r="E864" t="s">
        <v>182</v>
      </c>
      <c r="F864" t="s">
        <v>35</v>
      </c>
      <c r="G864" t="s">
        <v>135</v>
      </c>
      <c r="H864" t="s">
        <v>179</v>
      </c>
      <c r="I864" t="s">
        <v>33</v>
      </c>
      <c r="J864" t="s">
        <v>23</v>
      </c>
      <c r="K864">
        <v>0</v>
      </c>
      <c r="M864">
        <v>0.19</v>
      </c>
      <c r="N864" t="s">
        <v>456</v>
      </c>
      <c r="P864">
        <v>47213</v>
      </c>
      <c r="Q864">
        <v>1.85</v>
      </c>
      <c r="R864">
        <v>0.87</v>
      </c>
      <c r="S864" t="b">
        <v>0</v>
      </c>
      <c r="T864">
        <v>1</v>
      </c>
      <c r="U864">
        <v>0</v>
      </c>
      <c r="V864" t="s">
        <v>0</v>
      </c>
    </row>
    <row r="865" spans="1:22" x14ac:dyDescent="0.25">
      <c r="A865" t="s">
        <v>455</v>
      </c>
      <c r="B865">
        <v>2023</v>
      </c>
      <c r="C865" t="s">
        <v>281</v>
      </c>
      <c r="D865" t="s">
        <v>91</v>
      </c>
      <c r="E865" t="s">
        <v>50</v>
      </c>
      <c r="F865" t="s">
        <v>75</v>
      </c>
      <c r="G865" t="s">
        <v>5</v>
      </c>
      <c r="H865" t="s">
        <v>85</v>
      </c>
      <c r="I865" t="s">
        <v>74</v>
      </c>
      <c r="J865" t="s">
        <v>13</v>
      </c>
      <c r="K865">
        <v>0</v>
      </c>
      <c r="M865">
        <v>0.03</v>
      </c>
      <c r="N865" t="s">
        <v>454</v>
      </c>
      <c r="P865">
        <v>71813</v>
      </c>
      <c r="Q865">
        <v>0.67</v>
      </c>
      <c r="R865">
        <v>0.85</v>
      </c>
      <c r="S865" t="b">
        <v>0</v>
      </c>
      <c r="T865">
        <v>2</v>
      </c>
      <c r="U865">
        <v>16</v>
      </c>
      <c r="V865" t="s">
        <v>0</v>
      </c>
    </row>
    <row r="866" spans="1:22" x14ac:dyDescent="0.25">
      <c r="A866" t="s">
        <v>453</v>
      </c>
      <c r="B866">
        <v>2023</v>
      </c>
      <c r="C866" t="s">
        <v>157</v>
      </c>
      <c r="D866" t="s">
        <v>18</v>
      </c>
      <c r="E866" t="s">
        <v>17</v>
      </c>
      <c r="F866" t="s">
        <v>112</v>
      </c>
      <c r="G866" t="s">
        <v>5</v>
      </c>
      <c r="H866" t="s">
        <v>34</v>
      </c>
      <c r="I866" t="s">
        <v>33</v>
      </c>
      <c r="J866" t="s">
        <v>73</v>
      </c>
      <c r="K866">
        <v>1</v>
      </c>
      <c r="L866" t="s">
        <v>451</v>
      </c>
      <c r="M866">
        <v>0.85</v>
      </c>
      <c r="N866" t="s">
        <v>452</v>
      </c>
      <c r="O866" t="s">
        <v>451</v>
      </c>
      <c r="P866">
        <v>114181</v>
      </c>
      <c r="Q866">
        <v>13.63</v>
      </c>
      <c r="R866">
        <v>0.39</v>
      </c>
      <c r="S866" t="b">
        <v>1</v>
      </c>
      <c r="T866">
        <v>3</v>
      </c>
      <c r="U866">
        <v>10</v>
      </c>
      <c r="V866" t="s">
        <v>0</v>
      </c>
    </row>
    <row r="867" spans="1:22" x14ac:dyDescent="0.25">
      <c r="A867" t="s">
        <v>450</v>
      </c>
      <c r="B867">
        <v>2023</v>
      </c>
      <c r="C867" t="s">
        <v>333</v>
      </c>
      <c r="D867" t="s">
        <v>28</v>
      </c>
      <c r="E867" t="s">
        <v>50</v>
      </c>
      <c r="F867" t="s">
        <v>112</v>
      </c>
      <c r="G867" t="s">
        <v>135</v>
      </c>
      <c r="H867" t="s">
        <v>141</v>
      </c>
      <c r="I867" t="s">
        <v>107</v>
      </c>
      <c r="J867" t="s">
        <v>96</v>
      </c>
      <c r="K867">
        <v>1</v>
      </c>
      <c r="L867" t="s">
        <v>340</v>
      </c>
      <c r="M867">
        <v>0.5</v>
      </c>
      <c r="N867" t="s">
        <v>449</v>
      </c>
      <c r="O867" t="s">
        <v>340</v>
      </c>
      <c r="P867">
        <v>71697</v>
      </c>
      <c r="Q867">
        <v>17.88</v>
      </c>
      <c r="R867">
        <v>0.35</v>
      </c>
      <c r="S867" t="b">
        <v>1</v>
      </c>
      <c r="T867">
        <v>1</v>
      </c>
      <c r="U867">
        <v>4</v>
      </c>
      <c r="V867" t="s">
        <v>0</v>
      </c>
    </row>
    <row r="868" spans="1:22" x14ac:dyDescent="0.25">
      <c r="A868" t="s">
        <v>448</v>
      </c>
      <c r="B868">
        <v>2023</v>
      </c>
      <c r="C868" t="s">
        <v>171</v>
      </c>
      <c r="D868" t="s">
        <v>57</v>
      </c>
      <c r="E868" t="s">
        <v>27</v>
      </c>
      <c r="F868" t="s">
        <v>69</v>
      </c>
      <c r="G868" t="s">
        <v>16</v>
      </c>
      <c r="H868" t="s">
        <v>34</v>
      </c>
      <c r="I868" t="s">
        <v>68</v>
      </c>
      <c r="J868" t="s">
        <v>13</v>
      </c>
      <c r="K868">
        <v>1</v>
      </c>
      <c r="L868" t="s">
        <v>446</v>
      </c>
      <c r="M868">
        <v>0.52</v>
      </c>
      <c r="N868" t="s">
        <v>447</v>
      </c>
      <c r="O868" t="s">
        <v>446</v>
      </c>
      <c r="P868">
        <v>133307</v>
      </c>
      <c r="Q868">
        <v>14.36</v>
      </c>
      <c r="R868">
        <v>0.33</v>
      </c>
      <c r="S868" t="b">
        <v>1</v>
      </c>
      <c r="T868">
        <v>3</v>
      </c>
      <c r="U868">
        <v>6</v>
      </c>
      <c r="V868" t="s">
        <v>0</v>
      </c>
    </row>
    <row r="869" spans="1:22" x14ac:dyDescent="0.25">
      <c r="A869" t="s">
        <v>445</v>
      </c>
      <c r="B869">
        <v>2023</v>
      </c>
      <c r="C869" t="s">
        <v>104</v>
      </c>
      <c r="D869" t="s">
        <v>8</v>
      </c>
      <c r="E869" t="s">
        <v>36</v>
      </c>
      <c r="F869" t="s">
        <v>41</v>
      </c>
      <c r="G869" t="s">
        <v>135</v>
      </c>
      <c r="H869" t="s">
        <v>15</v>
      </c>
      <c r="I869" t="s">
        <v>24</v>
      </c>
      <c r="J869" t="s">
        <v>73</v>
      </c>
      <c r="K869">
        <v>1</v>
      </c>
      <c r="L869" t="s">
        <v>443</v>
      </c>
      <c r="M869">
        <v>0.73</v>
      </c>
      <c r="N869" t="s">
        <v>444</v>
      </c>
      <c r="O869" t="s">
        <v>443</v>
      </c>
      <c r="P869">
        <v>36955</v>
      </c>
      <c r="Q869">
        <v>7.8</v>
      </c>
      <c r="R869">
        <v>0.28999999999999998</v>
      </c>
      <c r="S869" t="b">
        <v>1</v>
      </c>
      <c r="T869">
        <v>3</v>
      </c>
      <c r="U869">
        <v>10</v>
      </c>
      <c r="V869" t="s">
        <v>0</v>
      </c>
    </row>
    <row r="870" spans="1:22" x14ac:dyDescent="0.25">
      <c r="A870" t="s">
        <v>442</v>
      </c>
      <c r="B870">
        <v>2023</v>
      </c>
      <c r="C870" t="s">
        <v>65</v>
      </c>
      <c r="D870" t="s">
        <v>64</v>
      </c>
      <c r="E870" t="s">
        <v>219</v>
      </c>
      <c r="F870" t="s">
        <v>103</v>
      </c>
      <c r="G870" t="s">
        <v>62</v>
      </c>
      <c r="H870" t="s">
        <v>61</v>
      </c>
      <c r="I870" t="s">
        <v>3</v>
      </c>
      <c r="J870" t="s">
        <v>79</v>
      </c>
      <c r="K870">
        <v>1</v>
      </c>
      <c r="L870" t="s">
        <v>441</v>
      </c>
      <c r="M870">
        <v>0.43</v>
      </c>
      <c r="N870" t="s">
        <v>373</v>
      </c>
      <c r="O870" t="s">
        <v>441</v>
      </c>
      <c r="P870">
        <v>151557</v>
      </c>
      <c r="Q870">
        <v>13.52</v>
      </c>
      <c r="R870">
        <v>0.37</v>
      </c>
      <c r="S870" t="b">
        <v>1</v>
      </c>
      <c r="T870">
        <v>1</v>
      </c>
      <c r="U870">
        <v>0</v>
      </c>
      <c r="V870" t="s">
        <v>0</v>
      </c>
    </row>
    <row r="871" spans="1:22" x14ac:dyDescent="0.25">
      <c r="A871" t="s">
        <v>440</v>
      </c>
      <c r="B871">
        <v>2023</v>
      </c>
      <c r="C871" t="s">
        <v>215</v>
      </c>
      <c r="D871" t="s">
        <v>91</v>
      </c>
      <c r="E871" t="s">
        <v>50</v>
      </c>
      <c r="F871" t="s">
        <v>26</v>
      </c>
      <c r="G871" t="s">
        <v>135</v>
      </c>
      <c r="H871" t="s">
        <v>85</v>
      </c>
      <c r="I871" t="s">
        <v>40</v>
      </c>
      <c r="J871" t="s">
        <v>73</v>
      </c>
      <c r="K871">
        <v>1</v>
      </c>
      <c r="L871" t="s">
        <v>438</v>
      </c>
      <c r="M871">
        <v>0.7</v>
      </c>
      <c r="N871" t="s">
        <v>439</v>
      </c>
      <c r="O871" t="s">
        <v>438</v>
      </c>
      <c r="P871">
        <v>92073</v>
      </c>
      <c r="Q871">
        <v>14.94</v>
      </c>
      <c r="R871">
        <v>0.36</v>
      </c>
      <c r="S871" t="b">
        <v>1</v>
      </c>
      <c r="T871">
        <v>3</v>
      </c>
      <c r="U871">
        <v>15</v>
      </c>
      <c r="V871" t="s">
        <v>0</v>
      </c>
    </row>
    <row r="872" spans="1:22" x14ac:dyDescent="0.25">
      <c r="A872" t="s">
        <v>437</v>
      </c>
      <c r="B872">
        <v>2023</v>
      </c>
      <c r="C872" t="s">
        <v>65</v>
      </c>
      <c r="D872" t="s">
        <v>64</v>
      </c>
      <c r="E872" t="s">
        <v>86</v>
      </c>
      <c r="F872" t="s">
        <v>108</v>
      </c>
      <c r="G872" t="s">
        <v>62</v>
      </c>
      <c r="H872" t="s">
        <v>61</v>
      </c>
      <c r="I872" t="s">
        <v>40</v>
      </c>
      <c r="J872" t="s">
        <v>79</v>
      </c>
      <c r="K872">
        <v>1</v>
      </c>
      <c r="L872" t="s">
        <v>435</v>
      </c>
      <c r="M872">
        <v>0.66</v>
      </c>
      <c r="N872" t="s">
        <v>436</v>
      </c>
      <c r="O872" t="s">
        <v>435</v>
      </c>
      <c r="P872">
        <v>118549</v>
      </c>
      <c r="Q872">
        <v>15.85</v>
      </c>
      <c r="R872">
        <v>0.16</v>
      </c>
      <c r="S872" t="b">
        <v>1</v>
      </c>
      <c r="T872">
        <v>2</v>
      </c>
      <c r="U872">
        <v>16</v>
      </c>
      <c r="V872" t="s">
        <v>0</v>
      </c>
    </row>
    <row r="873" spans="1:22" x14ac:dyDescent="0.25">
      <c r="A873" t="s">
        <v>434</v>
      </c>
      <c r="B873">
        <v>2023</v>
      </c>
      <c r="C873" t="s">
        <v>176</v>
      </c>
      <c r="D873" t="s">
        <v>64</v>
      </c>
      <c r="E873" t="s">
        <v>121</v>
      </c>
      <c r="F873" t="s">
        <v>75</v>
      </c>
      <c r="G873" t="s">
        <v>135</v>
      </c>
      <c r="H873" t="s">
        <v>61</v>
      </c>
      <c r="I873" t="s">
        <v>90</v>
      </c>
      <c r="J873" t="s">
        <v>73</v>
      </c>
      <c r="K873">
        <v>0</v>
      </c>
      <c r="M873">
        <v>0.09</v>
      </c>
      <c r="N873" t="s">
        <v>433</v>
      </c>
      <c r="P873">
        <v>86627</v>
      </c>
      <c r="Q873">
        <v>-1.01</v>
      </c>
      <c r="R873">
        <v>0.68</v>
      </c>
      <c r="S873" t="b">
        <v>0</v>
      </c>
      <c r="T873">
        <v>1</v>
      </c>
      <c r="U873">
        <v>7</v>
      </c>
      <c r="V873" t="s">
        <v>0</v>
      </c>
    </row>
    <row r="874" spans="1:22" x14ac:dyDescent="0.25">
      <c r="A874" t="s">
        <v>432</v>
      </c>
      <c r="B874">
        <v>2024</v>
      </c>
      <c r="C874" t="s">
        <v>316</v>
      </c>
      <c r="D874" t="s">
        <v>43</v>
      </c>
      <c r="E874" t="s">
        <v>86</v>
      </c>
      <c r="F874" t="s">
        <v>124</v>
      </c>
      <c r="G874" t="s">
        <v>25</v>
      </c>
      <c r="H874" t="s">
        <v>179</v>
      </c>
      <c r="I874" t="s">
        <v>24</v>
      </c>
      <c r="J874" t="s">
        <v>96</v>
      </c>
      <c r="K874">
        <v>1</v>
      </c>
      <c r="L874" t="s">
        <v>430</v>
      </c>
      <c r="M874">
        <v>0.95</v>
      </c>
      <c r="N874" t="s">
        <v>431</v>
      </c>
      <c r="O874" t="s">
        <v>430</v>
      </c>
      <c r="P874">
        <v>131923</v>
      </c>
      <c r="Q874">
        <v>6.39</v>
      </c>
      <c r="R874">
        <v>0.21</v>
      </c>
      <c r="S874" t="b">
        <v>1</v>
      </c>
      <c r="T874">
        <v>2</v>
      </c>
      <c r="U874">
        <v>7</v>
      </c>
      <c r="V874" t="s">
        <v>0</v>
      </c>
    </row>
    <row r="875" spans="1:22" x14ac:dyDescent="0.25">
      <c r="A875" t="s">
        <v>429</v>
      </c>
      <c r="B875">
        <v>2024</v>
      </c>
      <c r="C875" t="s">
        <v>51</v>
      </c>
      <c r="D875" t="s">
        <v>18</v>
      </c>
      <c r="E875" t="s">
        <v>121</v>
      </c>
      <c r="F875" t="s">
        <v>75</v>
      </c>
      <c r="G875" t="s">
        <v>62</v>
      </c>
      <c r="H875" t="s">
        <v>49</v>
      </c>
      <c r="I875" t="s">
        <v>97</v>
      </c>
      <c r="J875" t="s">
        <v>13</v>
      </c>
      <c r="K875">
        <v>1</v>
      </c>
      <c r="L875" t="s">
        <v>427</v>
      </c>
      <c r="M875">
        <v>0.41</v>
      </c>
      <c r="N875" t="s">
        <v>428</v>
      </c>
      <c r="O875" t="s">
        <v>427</v>
      </c>
      <c r="P875">
        <v>103592</v>
      </c>
      <c r="Q875">
        <v>15.42</v>
      </c>
      <c r="R875">
        <v>0.28999999999999998</v>
      </c>
      <c r="S875" t="b">
        <v>1</v>
      </c>
      <c r="T875">
        <v>2</v>
      </c>
      <c r="U875">
        <v>10</v>
      </c>
      <c r="V875" t="s">
        <v>46</v>
      </c>
    </row>
    <row r="876" spans="1:22" x14ac:dyDescent="0.25">
      <c r="A876" t="s">
        <v>426</v>
      </c>
      <c r="B876">
        <v>2024</v>
      </c>
      <c r="C876" t="s">
        <v>407</v>
      </c>
      <c r="D876" t="s">
        <v>131</v>
      </c>
      <c r="E876" t="s">
        <v>116</v>
      </c>
      <c r="F876" t="s">
        <v>69</v>
      </c>
      <c r="G876" t="s">
        <v>62</v>
      </c>
      <c r="H876" t="s">
        <v>179</v>
      </c>
      <c r="I876" t="s">
        <v>40</v>
      </c>
      <c r="J876" t="s">
        <v>79</v>
      </c>
      <c r="K876">
        <v>1</v>
      </c>
      <c r="L876" t="s">
        <v>47</v>
      </c>
      <c r="M876">
        <v>0.64</v>
      </c>
      <c r="N876" t="s">
        <v>425</v>
      </c>
      <c r="O876" t="s">
        <v>47</v>
      </c>
      <c r="P876">
        <v>56112</v>
      </c>
      <c r="Q876">
        <v>8.57</v>
      </c>
      <c r="R876">
        <v>0.12</v>
      </c>
      <c r="S876" t="b">
        <v>1</v>
      </c>
      <c r="T876">
        <v>1</v>
      </c>
      <c r="U876">
        <v>2</v>
      </c>
      <c r="V876" t="s">
        <v>0</v>
      </c>
    </row>
    <row r="877" spans="1:22" x14ac:dyDescent="0.25">
      <c r="A877" t="s">
        <v>424</v>
      </c>
      <c r="B877">
        <v>2024</v>
      </c>
      <c r="C877" t="s">
        <v>171</v>
      </c>
      <c r="D877" t="s">
        <v>57</v>
      </c>
      <c r="E877" t="s">
        <v>121</v>
      </c>
      <c r="F877" t="s">
        <v>75</v>
      </c>
      <c r="G877" t="s">
        <v>16</v>
      </c>
      <c r="H877" t="s">
        <v>141</v>
      </c>
      <c r="I877" t="s">
        <v>14</v>
      </c>
      <c r="J877" t="s">
        <v>96</v>
      </c>
      <c r="K877">
        <v>1</v>
      </c>
      <c r="L877" t="s">
        <v>422</v>
      </c>
      <c r="M877">
        <v>0.66</v>
      </c>
      <c r="N877" t="s">
        <v>423</v>
      </c>
      <c r="O877" t="s">
        <v>422</v>
      </c>
      <c r="P877">
        <v>115685</v>
      </c>
      <c r="Q877">
        <v>5.8</v>
      </c>
      <c r="R877">
        <v>0.13</v>
      </c>
      <c r="S877" t="b">
        <v>1</v>
      </c>
      <c r="T877">
        <v>3</v>
      </c>
      <c r="U877">
        <v>16</v>
      </c>
      <c r="V877" t="s">
        <v>0</v>
      </c>
    </row>
    <row r="878" spans="1:22" x14ac:dyDescent="0.25">
      <c r="A878" t="s">
        <v>421</v>
      </c>
      <c r="B878">
        <v>2024</v>
      </c>
      <c r="C878" t="s">
        <v>171</v>
      </c>
      <c r="D878" t="s">
        <v>57</v>
      </c>
      <c r="E878" t="s">
        <v>86</v>
      </c>
      <c r="F878" t="s">
        <v>80</v>
      </c>
      <c r="G878" t="s">
        <v>25</v>
      </c>
      <c r="H878" t="s">
        <v>102</v>
      </c>
      <c r="I878" t="s">
        <v>33</v>
      </c>
      <c r="J878" t="s">
        <v>79</v>
      </c>
      <c r="K878">
        <v>1</v>
      </c>
      <c r="L878" t="s">
        <v>419</v>
      </c>
      <c r="M878">
        <v>0.85</v>
      </c>
      <c r="N878" t="s">
        <v>420</v>
      </c>
      <c r="O878" t="s">
        <v>419</v>
      </c>
      <c r="P878">
        <v>138748</v>
      </c>
      <c r="Q878">
        <v>12.52</v>
      </c>
      <c r="R878">
        <v>0.11</v>
      </c>
      <c r="S878" t="b">
        <v>1</v>
      </c>
      <c r="T878">
        <v>1</v>
      </c>
      <c r="U878">
        <v>13</v>
      </c>
      <c r="V878" t="s">
        <v>46</v>
      </c>
    </row>
    <row r="879" spans="1:22" x14ac:dyDescent="0.25">
      <c r="A879" t="s">
        <v>418</v>
      </c>
      <c r="B879">
        <v>2024</v>
      </c>
      <c r="C879" t="s">
        <v>9</v>
      </c>
      <c r="D879" t="s">
        <v>8</v>
      </c>
      <c r="E879" t="s">
        <v>130</v>
      </c>
      <c r="F879" t="s">
        <v>80</v>
      </c>
      <c r="G879" t="s">
        <v>5</v>
      </c>
      <c r="H879" t="s">
        <v>61</v>
      </c>
      <c r="I879" t="s">
        <v>3</v>
      </c>
      <c r="J879" t="s">
        <v>79</v>
      </c>
      <c r="K879">
        <v>1</v>
      </c>
      <c r="L879" t="s">
        <v>119</v>
      </c>
      <c r="M879">
        <v>0.5</v>
      </c>
      <c r="N879" t="s">
        <v>417</v>
      </c>
      <c r="O879" t="s">
        <v>119</v>
      </c>
      <c r="P879">
        <v>40204</v>
      </c>
      <c r="Q879">
        <v>11.87</v>
      </c>
      <c r="R879">
        <v>0.32</v>
      </c>
      <c r="S879" t="b">
        <v>1</v>
      </c>
      <c r="T879">
        <v>1</v>
      </c>
      <c r="U879">
        <v>8</v>
      </c>
      <c r="V879" t="s">
        <v>0</v>
      </c>
    </row>
    <row r="880" spans="1:22" x14ac:dyDescent="0.25">
      <c r="A880" t="s">
        <v>416</v>
      </c>
      <c r="B880">
        <v>2024</v>
      </c>
      <c r="C880" t="s">
        <v>58</v>
      </c>
      <c r="D880" t="s">
        <v>57</v>
      </c>
      <c r="E880" t="s">
        <v>121</v>
      </c>
      <c r="F880" t="s">
        <v>6</v>
      </c>
      <c r="G880" t="s">
        <v>5</v>
      </c>
      <c r="H880" t="s">
        <v>179</v>
      </c>
      <c r="I880" t="s">
        <v>3</v>
      </c>
      <c r="J880" t="s">
        <v>73</v>
      </c>
      <c r="K880">
        <v>1</v>
      </c>
      <c r="L880" t="s">
        <v>119</v>
      </c>
      <c r="M880">
        <v>0.67</v>
      </c>
      <c r="N880" t="s">
        <v>415</v>
      </c>
      <c r="O880" t="s">
        <v>119</v>
      </c>
      <c r="P880">
        <v>121289</v>
      </c>
      <c r="Q880">
        <v>16.97</v>
      </c>
      <c r="R880">
        <v>0.13</v>
      </c>
      <c r="S880" t="b">
        <v>1</v>
      </c>
      <c r="T880">
        <v>2</v>
      </c>
      <c r="U880">
        <v>14</v>
      </c>
      <c r="V880" t="s">
        <v>0</v>
      </c>
    </row>
    <row r="881" spans="1:22" x14ac:dyDescent="0.25">
      <c r="A881" t="s">
        <v>414</v>
      </c>
      <c r="B881">
        <v>2024</v>
      </c>
      <c r="C881" t="s">
        <v>413</v>
      </c>
      <c r="D881" t="s">
        <v>8</v>
      </c>
      <c r="E881" t="s">
        <v>17</v>
      </c>
      <c r="F881" t="s">
        <v>6</v>
      </c>
      <c r="G881" t="s">
        <v>5</v>
      </c>
      <c r="H881" t="s">
        <v>85</v>
      </c>
      <c r="I881" t="s">
        <v>74</v>
      </c>
      <c r="J881" t="s">
        <v>13</v>
      </c>
      <c r="K881">
        <v>1</v>
      </c>
      <c r="L881" t="s">
        <v>346</v>
      </c>
      <c r="M881">
        <v>0.49</v>
      </c>
      <c r="N881" t="s">
        <v>412</v>
      </c>
      <c r="O881" t="s">
        <v>346</v>
      </c>
      <c r="P881">
        <v>41979</v>
      </c>
      <c r="Q881">
        <v>15.74</v>
      </c>
      <c r="R881">
        <v>0.31</v>
      </c>
      <c r="S881" t="b">
        <v>1</v>
      </c>
      <c r="T881">
        <v>2</v>
      </c>
      <c r="U881">
        <v>8</v>
      </c>
      <c r="V881" t="s">
        <v>0</v>
      </c>
    </row>
    <row r="882" spans="1:22" x14ac:dyDescent="0.25">
      <c r="A882" t="s">
        <v>411</v>
      </c>
      <c r="B882">
        <v>2024</v>
      </c>
      <c r="C882" t="s">
        <v>104</v>
      </c>
      <c r="D882" t="s">
        <v>8</v>
      </c>
      <c r="E882" t="s">
        <v>219</v>
      </c>
      <c r="F882" t="s">
        <v>103</v>
      </c>
      <c r="G882" t="s">
        <v>16</v>
      </c>
      <c r="H882" t="s">
        <v>85</v>
      </c>
      <c r="I882" t="s">
        <v>33</v>
      </c>
      <c r="J882" t="s">
        <v>2</v>
      </c>
      <c r="K882">
        <v>1</v>
      </c>
      <c r="L882" t="s">
        <v>409</v>
      </c>
      <c r="M882">
        <v>0.62</v>
      </c>
      <c r="N882" t="s">
        <v>410</v>
      </c>
      <c r="O882" t="s">
        <v>409</v>
      </c>
      <c r="P882">
        <v>39241</v>
      </c>
      <c r="Q882">
        <v>15.86</v>
      </c>
      <c r="R882">
        <v>0.31</v>
      </c>
      <c r="S882" t="b">
        <v>1</v>
      </c>
      <c r="T882">
        <v>3</v>
      </c>
      <c r="U882">
        <v>15</v>
      </c>
      <c r="V882" t="s">
        <v>0</v>
      </c>
    </row>
    <row r="883" spans="1:22" x14ac:dyDescent="0.25">
      <c r="A883" t="s">
        <v>408</v>
      </c>
      <c r="B883">
        <v>2024</v>
      </c>
      <c r="C883" t="s">
        <v>407</v>
      </c>
      <c r="D883" t="s">
        <v>131</v>
      </c>
      <c r="E883" t="s">
        <v>116</v>
      </c>
      <c r="F883" t="s">
        <v>80</v>
      </c>
      <c r="G883" t="s">
        <v>5</v>
      </c>
      <c r="H883" t="s">
        <v>49</v>
      </c>
      <c r="I883" t="s">
        <v>90</v>
      </c>
      <c r="J883" t="s">
        <v>23</v>
      </c>
      <c r="K883">
        <v>1</v>
      </c>
      <c r="L883" t="s">
        <v>47</v>
      </c>
      <c r="M883">
        <v>0.81</v>
      </c>
      <c r="N883" t="s">
        <v>406</v>
      </c>
      <c r="O883" t="s">
        <v>47</v>
      </c>
      <c r="P883">
        <v>51011</v>
      </c>
      <c r="Q883">
        <v>10.24</v>
      </c>
      <c r="R883">
        <v>0.11</v>
      </c>
      <c r="S883" t="b">
        <v>1</v>
      </c>
      <c r="T883">
        <v>2</v>
      </c>
      <c r="U883">
        <v>10</v>
      </c>
      <c r="V883" t="s">
        <v>46</v>
      </c>
    </row>
    <row r="884" spans="1:22" x14ac:dyDescent="0.25">
      <c r="A884" t="s">
        <v>405</v>
      </c>
      <c r="B884">
        <v>2024</v>
      </c>
      <c r="C884" t="s">
        <v>333</v>
      </c>
      <c r="D884" t="s">
        <v>28</v>
      </c>
      <c r="E884" t="s">
        <v>42</v>
      </c>
      <c r="F884" t="s">
        <v>35</v>
      </c>
      <c r="G884" t="s">
        <v>5</v>
      </c>
      <c r="H884" t="s">
        <v>61</v>
      </c>
      <c r="I884" t="s">
        <v>3</v>
      </c>
      <c r="J884" t="s">
        <v>96</v>
      </c>
      <c r="K884">
        <v>0</v>
      </c>
      <c r="M884">
        <v>0.01</v>
      </c>
      <c r="N884" t="s">
        <v>404</v>
      </c>
      <c r="P884">
        <v>44575</v>
      </c>
      <c r="Q884">
        <v>-2.8</v>
      </c>
      <c r="R884">
        <v>0.82</v>
      </c>
      <c r="S884" t="b">
        <v>0</v>
      </c>
      <c r="T884">
        <v>1</v>
      </c>
      <c r="U884">
        <v>18</v>
      </c>
      <c r="V884" t="s">
        <v>0</v>
      </c>
    </row>
    <row r="885" spans="1:22" x14ac:dyDescent="0.25">
      <c r="A885" t="s">
        <v>403</v>
      </c>
      <c r="B885">
        <v>2024</v>
      </c>
      <c r="C885" t="s">
        <v>167</v>
      </c>
      <c r="D885" t="s">
        <v>43</v>
      </c>
      <c r="E885" t="s">
        <v>130</v>
      </c>
      <c r="F885" t="s">
        <v>55</v>
      </c>
      <c r="G885" t="s">
        <v>135</v>
      </c>
      <c r="H885" t="s">
        <v>4</v>
      </c>
      <c r="I885" t="s">
        <v>14</v>
      </c>
      <c r="J885" t="s">
        <v>73</v>
      </c>
      <c r="K885">
        <v>1</v>
      </c>
      <c r="L885" t="s">
        <v>139</v>
      </c>
      <c r="M885">
        <v>0.42</v>
      </c>
      <c r="N885" t="s">
        <v>402</v>
      </c>
      <c r="O885" t="s">
        <v>139</v>
      </c>
      <c r="P885">
        <v>128636</v>
      </c>
      <c r="Q885">
        <v>8.01</v>
      </c>
      <c r="R885">
        <v>0.18</v>
      </c>
      <c r="S885" t="b">
        <v>1</v>
      </c>
      <c r="T885">
        <v>1</v>
      </c>
      <c r="U885">
        <v>16</v>
      </c>
      <c r="V885" t="s">
        <v>0</v>
      </c>
    </row>
    <row r="886" spans="1:22" x14ac:dyDescent="0.25">
      <c r="A886" t="s">
        <v>401</v>
      </c>
      <c r="B886">
        <v>2024</v>
      </c>
      <c r="C886" t="s">
        <v>236</v>
      </c>
      <c r="D886" t="s">
        <v>131</v>
      </c>
      <c r="E886" t="s">
        <v>121</v>
      </c>
      <c r="F886" t="s">
        <v>41</v>
      </c>
      <c r="G886" t="s">
        <v>62</v>
      </c>
      <c r="H886" t="s">
        <v>102</v>
      </c>
      <c r="I886" t="s">
        <v>24</v>
      </c>
      <c r="J886" t="s">
        <v>13</v>
      </c>
      <c r="K886">
        <v>1</v>
      </c>
      <c r="L886" t="s">
        <v>196</v>
      </c>
      <c r="M886">
        <v>0.83</v>
      </c>
      <c r="N886" t="s">
        <v>400</v>
      </c>
      <c r="O886" t="s">
        <v>196</v>
      </c>
      <c r="P886">
        <v>51971</v>
      </c>
      <c r="Q886">
        <v>11.11</v>
      </c>
      <c r="R886">
        <v>0.16</v>
      </c>
      <c r="S886" t="b">
        <v>1</v>
      </c>
      <c r="T886">
        <v>1</v>
      </c>
      <c r="U886">
        <v>6</v>
      </c>
      <c r="V886" t="s">
        <v>46</v>
      </c>
    </row>
    <row r="887" spans="1:22" x14ac:dyDescent="0.25">
      <c r="A887" t="s">
        <v>399</v>
      </c>
      <c r="B887">
        <v>2024</v>
      </c>
      <c r="C887" t="s">
        <v>9</v>
      </c>
      <c r="D887" t="s">
        <v>8</v>
      </c>
      <c r="E887" t="s">
        <v>56</v>
      </c>
      <c r="F887" t="s">
        <v>69</v>
      </c>
      <c r="G887" t="s">
        <v>16</v>
      </c>
      <c r="H887" t="s">
        <v>61</v>
      </c>
      <c r="I887" t="s">
        <v>68</v>
      </c>
      <c r="J887" t="s">
        <v>2</v>
      </c>
      <c r="K887">
        <v>0</v>
      </c>
      <c r="M887">
        <v>0.2</v>
      </c>
      <c r="N887" t="s">
        <v>398</v>
      </c>
      <c r="P887">
        <v>29215</v>
      </c>
      <c r="Q887">
        <v>0.18</v>
      </c>
      <c r="R887">
        <v>0.9</v>
      </c>
      <c r="S887" t="b">
        <v>0</v>
      </c>
      <c r="T887">
        <v>2</v>
      </c>
      <c r="U887">
        <v>11</v>
      </c>
      <c r="V887" t="s">
        <v>0</v>
      </c>
    </row>
    <row r="888" spans="1:22" x14ac:dyDescent="0.25">
      <c r="A888" t="s">
        <v>397</v>
      </c>
      <c r="B888">
        <v>2024</v>
      </c>
      <c r="C888" t="s">
        <v>92</v>
      </c>
      <c r="D888" t="s">
        <v>91</v>
      </c>
      <c r="E888" t="s">
        <v>27</v>
      </c>
      <c r="F888" t="s">
        <v>69</v>
      </c>
      <c r="G888" t="s">
        <v>16</v>
      </c>
      <c r="H888" t="s">
        <v>102</v>
      </c>
      <c r="I888" t="s">
        <v>40</v>
      </c>
      <c r="J888" t="s">
        <v>23</v>
      </c>
      <c r="K888">
        <v>1</v>
      </c>
      <c r="L888" t="s">
        <v>395</v>
      </c>
      <c r="M888">
        <v>0.41</v>
      </c>
      <c r="N888" t="s">
        <v>396</v>
      </c>
      <c r="O888" t="s">
        <v>395</v>
      </c>
      <c r="P888">
        <v>110356</v>
      </c>
      <c r="Q888">
        <v>13.44</v>
      </c>
      <c r="R888">
        <v>0.17</v>
      </c>
      <c r="S888" t="b">
        <v>1</v>
      </c>
      <c r="T888">
        <v>3</v>
      </c>
      <c r="U888">
        <v>0</v>
      </c>
      <c r="V888" t="s">
        <v>46</v>
      </c>
    </row>
    <row r="889" spans="1:22" x14ac:dyDescent="0.25">
      <c r="A889" t="s">
        <v>394</v>
      </c>
      <c r="B889">
        <v>2024</v>
      </c>
      <c r="C889" t="s">
        <v>86</v>
      </c>
      <c r="D889" t="s">
        <v>131</v>
      </c>
      <c r="E889" t="s">
        <v>36</v>
      </c>
      <c r="F889" t="s">
        <v>124</v>
      </c>
      <c r="G889" t="s">
        <v>5</v>
      </c>
      <c r="H889" t="s">
        <v>85</v>
      </c>
      <c r="I889" t="s">
        <v>40</v>
      </c>
      <c r="J889" t="s">
        <v>79</v>
      </c>
      <c r="K889">
        <v>1</v>
      </c>
      <c r="L889" t="s">
        <v>88</v>
      </c>
      <c r="M889">
        <v>0.89</v>
      </c>
      <c r="N889" t="s">
        <v>393</v>
      </c>
      <c r="O889" t="s">
        <v>88</v>
      </c>
      <c r="P889">
        <v>55311</v>
      </c>
      <c r="Q889">
        <v>9.7200000000000006</v>
      </c>
      <c r="R889">
        <v>0.16</v>
      </c>
      <c r="S889" t="b">
        <v>1</v>
      </c>
      <c r="T889">
        <v>2</v>
      </c>
      <c r="U889">
        <v>15</v>
      </c>
      <c r="V889" t="s">
        <v>0</v>
      </c>
    </row>
    <row r="890" spans="1:22" x14ac:dyDescent="0.25">
      <c r="A890" t="s">
        <v>392</v>
      </c>
      <c r="B890">
        <v>2024</v>
      </c>
      <c r="C890" t="s">
        <v>157</v>
      </c>
      <c r="D890" t="s">
        <v>18</v>
      </c>
      <c r="E890" t="s">
        <v>182</v>
      </c>
      <c r="F890" t="s">
        <v>41</v>
      </c>
      <c r="G890" t="s">
        <v>5</v>
      </c>
      <c r="H890" t="s">
        <v>141</v>
      </c>
      <c r="I890" t="s">
        <v>14</v>
      </c>
      <c r="J890" t="s">
        <v>23</v>
      </c>
      <c r="K890">
        <v>1</v>
      </c>
      <c r="L890" t="s">
        <v>390</v>
      </c>
      <c r="M890">
        <v>0.63</v>
      </c>
      <c r="N890" t="s">
        <v>391</v>
      </c>
      <c r="O890" t="s">
        <v>390</v>
      </c>
      <c r="P890">
        <v>93182</v>
      </c>
      <c r="Q890">
        <v>11.48</v>
      </c>
      <c r="R890">
        <v>0.32</v>
      </c>
      <c r="S890" t="b">
        <v>1</v>
      </c>
      <c r="T890">
        <v>1</v>
      </c>
      <c r="U890">
        <v>18</v>
      </c>
      <c r="V890" t="s">
        <v>0</v>
      </c>
    </row>
    <row r="891" spans="1:22" x14ac:dyDescent="0.25">
      <c r="A891" t="s">
        <v>389</v>
      </c>
      <c r="B891">
        <v>2024</v>
      </c>
      <c r="C891" t="s">
        <v>65</v>
      </c>
      <c r="D891" t="s">
        <v>64</v>
      </c>
      <c r="E891" t="s">
        <v>182</v>
      </c>
      <c r="F891" t="s">
        <v>75</v>
      </c>
      <c r="G891" t="s">
        <v>5</v>
      </c>
      <c r="H891" t="s">
        <v>141</v>
      </c>
      <c r="I891" t="s">
        <v>40</v>
      </c>
      <c r="J891" t="s">
        <v>23</v>
      </c>
      <c r="K891">
        <v>1</v>
      </c>
      <c r="L891" t="s">
        <v>387</v>
      </c>
      <c r="M891">
        <v>0.56000000000000005</v>
      </c>
      <c r="N891" t="s">
        <v>388</v>
      </c>
      <c r="O891" t="s">
        <v>387</v>
      </c>
      <c r="P891">
        <v>119760</v>
      </c>
      <c r="Q891">
        <v>17</v>
      </c>
      <c r="R891">
        <v>0.32</v>
      </c>
      <c r="S891" t="b">
        <v>1</v>
      </c>
      <c r="T891">
        <v>3</v>
      </c>
      <c r="U891">
        <v>19</v>
      </c>
      <c r="V891" t="s">
        <v>0</v>
      </c>
    </row>
    <row r="892" spans="1:22" x14ac:dyDescent="0.25">
      <c r="A892" t="s">
        <v>386</v>
      </c>
      <c r="B892">
        <v>2024</v>
      </c>
      <c r="C892" t="s">
        <v>171</v>
      </c>
      <c r="D892" t="s">
        <v>57</v>
      </c>
      <c r="E892" t="s">
        <v>7</v>
      </c>
      <c r="F892" t="s">
        <v>80</v>
      </c>
      <c r="G892" t="s">
        <v>16</v>
      </c>
      <c r="H892" t="s">
        <v>102</v>
      </c>
      <c r="I892" t="s">
        <v>74</v>
      </c>
      <c r="J892" t="s">
        <v>2</v>
      </c>
      <c r="K892">
        <v>1</v>
      </c>
      <c r="L892" t="s">
        <v>384</v>
      </c>
      <c r="M892">
        <v>0.75</v>
      </c>
      <c r="N892" t="s">
        <v>385</v>
      </c>
      <c r="O892" t="s">
        <v>384</v>
      </c>
      <c r="P892">
        <v>109956</v>
      </c>
      <c r="Q892">
        <v>7.6</v>
      </c>
      <c r="R892">
        <v>0.19</v>
      </c>
      <c r="S892" t="b">
        <v>1</v>
      </c>
      <c r="T892">
        <v>2</v>
      </c>
      <c r="U892">
        <v>4</v>
      </c>
      <c r="V892" t="s">
        <v>46</v>
      </c>
    </row>
    <row r="893" spans="1:22" x14ac:dyDescent="0.25">
      <c r="A893" t="s">
        <v>383</v>
      </c>
      <c r="B893">
        <v>2024</v>
      </c>
      <c r="C893" t="s">
        <v>382</v>
      </c>
      <c r="D893" t="s">
        <v>125</v>
      </c>
      <c r="E893" t="s">
        <v>116</v>
      </c>
      <c r="F893" t="s">
        <v>112</v>
      </c>
      <c r="G893" t="s">
        <v>135</v>
      </c>
      <c r="H893" t="s">
        <v>49</v>
      </c>
      <c r="I893" t="s">
        <v>3</v>
      </c>
      <c r="J893" t="s">
        <v>23</v>
      </c>
      <c r="K893">
        <v>1</v>
      </c>
      <c r="L893" t="s">
        <v>380</v>
      </c>
      <c r="M893">
        <v>0.89</v>
      </c>
      <c r="N893" t="s">
        <v>381</v>
      </c>
      <c r="O893" t="s">
        <v>380</v>
      </c>
      <c r="P893">
        <v>35529</v>
      </c>
      <c r="Q893">
        <v>10.8</v>
      </c>
      <c r="R893">
        <v>0.21</v>
      </c>
      <c r="S893" t="b">
        <v>1</v>
      </c>
      <c r="T893">
        <v>1</v>
      </c>
      <c r="U893">
        <v>16</v>
      </c>
      <c r="V893" t="s">
        <v>46</v>
      </c>
    </row>
    <row r="894" spans="1:22" x14ac:dyDescent="0.25">
      <c r="A894" t="s">
        <v>379</v>
      </c>
      <c r="B894">
        <v>2024</v>
      </c>
      <c r="C894" t="s">
        <v>378</v>
      </c>
      <c r="D894" t="s">
        <v>43</v>
      </c>
      <c r="E894" t="s">
        <v>116</v>
      </c>
      <c r="F894" t="s">
        <v>75</v>
      </c>
      <c r="G894" t="s">
        <v>25</v>
      </c>
      <c r="H894" t="s">
        <v>4</v>
      </c>
      <c r="I894" t="s">
        <v>90</v>
      </c>
      <c r="J894" t="s">
        <v>79</v>
      </c>
      <c r="K894">
        <v>0</v>
      </c>
      <c r="M894">
        <v>0.02</v>
      </c>
      <c r="N894" t="s">
        <v>377</v>
      </c>
      <c r="P894">
        <v>77855</v>
      </c>
      <c r="Q894">
        <v>-0.27</v>
      </c>
      <c r="R894">
        <v>0.82</v>
      </c>
      <c r="S894" t="b">
        <v>0</v>
      </c>
      <c r="T894">
        <v>1</v>
      </c>
      <c r="U894">
        <v>16</v>
      </c>
      <c r="V894" t="s">
        <v>0</v>
      </c>
    </row>
    <row r="895" spans="1:22" x14ac:dyDescent="0.25">
      <c r="A895" t="s">
        <v>376</v>
      </c>
      <c r="B895">
        <v>2024</v>
      </c>
      <c r="C895" t="s">
        <v>348</v>
      </c>
      <c r="D895" t="s">
        <v>64</v>
      </c>
      <c r="E895" t="s">
        <v>116</v>
      </c>
      <c r="F895" t="s">
        <v>80</v>
      </c>
      <c r="G895" t="s">
        <v>16</v>
      </c>
      <c r="H895" t="s">
        <v>85</v>
      </c>
      <c r="I895" t="s">
        <v>68</v>
      </c>
      <c r="J895" t="s">
        <v>23</v>
      </c>
      <c r="K895">
        <v>0</v>
      </c>
      <c r="M895">
        <v>0.14000000000000001</v>
      </c>
      <c r="N895" t="s">
        <v>375</v>
      </c>
      <c r="P895">
        <v>101546</v>
      </c>
      <c r="Q895">
        <v>2.96</v>
      </c>
      <c r="R895">
        <v>0.81</v>
      </c>
      <c r="S895" t="b">
        <v>0</v>
      </c>
      <c r="T895">
        <v>2</v>
      </c>
      <c r="U895">
        <v>16</v>
      </c>
      <c r="V895" t="s">
        <v>0</v>
      </c>
    </row>
    <row r="896" spans="1:22" x14ac:dyDescent="0.25">
      <c r="A896" t="s">
        <v>374</v>
      </c>
      <c r="B896">
        <v>2024</v>
      </c>
      <c r="C896" t="s">
        <v>70</v>
      </c>
      <c r="D896" t="s">
        <v>18</v>
      </c>
      <c r="E896" t="s">
        <v>147</v>
      </c>
      <c r="F896" t="s">
        <v>75</v>
      </c>
      <c r="G896" t="s">
        <v>5</v>
      </c>
      <c r="H896" t="s">
        <v>61</v>
      </c>
      <c r="I896" t="s">
        <v>3</v>
      </c>
      <c r="J896" t="s">
        <v>2</v>
      </c>
      <c r="K896">
        <v>1</v>
      </c>
      <c r="L896" t="s">
        <v>372</v>
      </c>
      <c r="M896">
        <v>0.5</v>
      </c>
      <c r="N896" t="s">
        <v>373</v>
      </c>
      <c r="O896" t="s">
        <v>372</v>
      </c>
      <c r="P896">
        <v>100607</v>
      </c>
      <c r="Q896">
        <v>13.39</v>
      </c>
      <c r="R896">
        <v>0.21</v>
      </c>
      <c r="S896" t="b">
        <v>1</v>
      </c>
      <c r="T896">
        <v>1</v>
      </c>
      <c r="U896">
        <v>17</v>
      </c>
      <c r="V896" t="s">
        <v>0</v>
      </c>
    </row>
    <row r="897" spans="1:22" x14ac:dyDescent="0.25">
      <c r="A897" t="s">
        <v>371</v>
      </c>
      <c r="B897">
        <v>2024</v>
      </c>
      <c r="C897" t="s">
        <v>236</v>
      </c>
      <c r="D897" t="s">
        <v>131</v>
      </c>
      <c r="E897" t="s">
        <v>182</v>
      </c>
      <c r="F897" t="s">
        <v>41</v>
      </c>
      <c r="G897" t="s">
        <v>5</v>
      </c>
      <c r="H897" t="s">
        <v>85</v>
      </c>
      <c r="I897" t="s">
        <v>97</v>
      </c>
      <c r="J897" t="s">
        <v>79</v>
      </c>
      <c r="K897">
        <v>1</v>
      </c>
      <c r="L897" t="s">
        <v>369</v>
      </c>
      <c r="M897">
        <v>0.51</v>
      </c>
      <c r="N897" t="s">
        <v>370</v>
      </c>
      <c r="O897" t="s">
        <v>369</v>
      </c>
      <c r="P897">
        <v>67085</v>
      </c>
      <c r="Q897">
        <v>5.05</v>
      </c>
      <c r="R897">
        <v>0.36</v>
      </c>
      <c r="S897" t="b">
        <v>1</v>
      </c>
      <c r="T897">
        <v>1</v>
      </c>
      <c r="U897">
        <v>13</v>
      </c>
      <c r="V897" t="s">
        <v>0</v>
      </c>
    </row>
    <row r="898" spans="1:22" x14ac:dyDescent="0.25">
      <c r="A898" t="s">
        <v>368</v>
      </c>
      <c r="B898">
        <v>2024</v>
      </c>
      <c r="C898" t="s">
        <v>137</v>
      </c>
      <c r="D898" t="s">
        <v>43</v>
      </c>
      <c r="E898" t="s">
        <v>7</v>
      </c>
      <c r="F898" t="s">
        <v>55</v>
      </c>
      <c r="G898" t="s">
        <v>62</v>
      </c>
      <c r="H898" t="s">
        <v>4</v>
      </c>
      <c r="I898" t="s">
        <v>97</v>
      </c>
      <c r="J898" t="s">
        <v>2</v>
      </c>
      <c r="K898">
        <v>1</v>
      </c>
      <c r="L898" t="s">
        <v>285</v>
      </c>
      <c r="M898">
        <v>0.82</v>
      </c>
      <c r="N898" t="s">
        <v>367</v>
      </c>
      <c r="O898" t="s">
        <v>285</v>
      </c>
      <c r="P898">
        <v>124447</v>
      </c>
      <c r="Q898">
        <v>16.920000000000002</v>
      </c>
      <c r="R898">
        <v>0.22</v>
      </c>
      <c r="S898" t="b">
        <v>1</v>
      </c>
      <c r="T898">
        <v>3</v>
      </c>
      <c r="U898">
        <v>2</v>
      </c>
      <c r="V898" t="s">
        <v>0</v>
      </c>
    </row>
    <row r="899" spans="1:22" x14ac:dyDescent="0.25">
      <c r="A899" t="s">
        <v>366</v>
      </c>
      <c r="B899">
        <v>2024</v>
      </c>
      <c r="C899" t="s">
        <v>171</v>
      </c>
      <c r="D899" t="s">
        <v>57</v>
      </c>
      <c r="E899" t="s">
        <v>56</v>
      </c>
      <c r="F899" t="s">
        <v>6</v>
      </c>
      <c r="G899" t="s">
        <v>5</v>
      </c>
      <c r="H899" t="s">
        <v>179</v>
      </c>
      <c r="I899" t="s">
        <v>74</v>
      </c>
      <c r="J899" t="s">
        <v>23</v>
      </c>
      <c r="K899">
        <v>1</v>
      </c>
      <c r="L899" t="s">
        <v>364</v>
      </c>
      <c r="M899">
        <v>0.93</v>
      </c>
      <c r="N899" t="s">
        <v>365</v>
      </c>
      <c r="O899" t="s">
        <v>364</v>
      </c>
      <c r="P899">
        <v>126154</v>
      </c>
      <c r="Q899">
        <v>14.83</v>
      </c>
      <c r="R899">
        <v>0.28000000000000003</v>
      </c>
      <c r="S899" t="b">
        <v>1</v>
      </c>
      <c r="T899">
        <v>1</v>
      </c>
      <c r="U899">
        <v>14</v>
      </c>
      <c r="V899" t="s">
        <v>0</v>
      </c>
    </row>
    <row r="900" spans="1:22" x14ac:dyDescent="0.25">
      <c r="A900" t="s">
        <v>363</v>
      </c>
      <c r="B900">
        <v>2024</v>
      </c>
      <c r="C900" t="s">
        <v>183</v>
      </c>
      <c r="D900" t="s">
        <v>131</v>
      </c>
      <c r="E900" t="s">
        <v>182</v>
      </c>
      <c r="F900" t="s">
        <v>156</v>
      </c>
      <c r="G900" t="s">
        <v>16</v>
      </c>
      <c r="H900" t="s">
        <v>85</v>
      </c>
      <c r="I900" t="s">
        <v>74</v>
      </c>
      <c r="J900" t="s">
        <v>96</v>
      </c>
      <c r="K900">
        <v>0</v>
      </c>
      <c r="M900">
        <v>7.0000000000000007E-2</v>
      </c>
      <c r="N900" t="s">
        <v>362</v>
      </c>
      <c r="P900">
        <v>47147</v>
      </c>
      <c r="Q900">
        <v>0.03</v>
      </c>
      <c r="R900">
        <v>0.7</v>
      </c>
      <c r="S900" t="b">
        <v>0</v>
      </c>
      <c r="T900">
        <v>1</v>
      </c>
      <c r="U900">
        <v>8</v>
      </c>
      <c r="V900" t="s">
        <v>0</v>
      </c>
    </row>
    <row r="901" spans="1:22" x14ac:dyDescent="0.25">
      <c r="A901" t="s">
        <v>361</v>
      </c>
      <c r="B901">
        <v>2024</v>
      </c>
      <c r="C901" t="s">
        <v>316</v>
      </c>
      <c r="D901" t="s">
        <v>43</v>
      </c>
      <c r="E901" t="s">
        <v>219</v>
      </c>
      <c r="F901" t="s">
        <v>115</v>
      </c>
      <c r="G901" t="s">
        <v>5</v>
      </c>
      <c r="H901" t="s">
        <v>61</v>
      </c>
      <c r="I901" t="s">
        <v>90</v>
      </c>
      <c r="J901" t="s">
        <v>23</v>
      </c>
      <c r="K901">
        <v>0</v>
      </c>
      <c r="M901">
        <v>0.11</v>
      </c>
      <c r="N901" t="s">
        <v>360</v>
      </c>
      <c r="P901">
        <v>75671</v>
      </c>
      <c r="Q901">
        <v>0.17</v>
      </c>
      <c r="R901">
        <v>0.63</v>
      </c>
      <c r="S901" t="b">
        <v>0</v>
      </c>
      <c r="T901">
        <v>2</v>
      </c>
      <c r="U901">
        <v>11</v>
      </c>
      <c r="V901" t="s">
        <v>0</v>
      </c>
    </row>
    <row r="902" spans="1:22" x14ac:dyDescent="0.25">
      <c r="A902" t="s">
        <v>359</v>
      </c>
      <c r="B902">
        <v>2024</v>
      </c>
      <c r="C902" t="s">
        <v>358</v>
      </c>
      <c r="D902" t="s">
        <v>131</v>
      </c>
      <c r="E902" t="s">
        <v>27</v>
      </c>
      <c r="F902" t="s">
        <v>136</v>
      </c>
      <c r="G902" t="s">
        <v>62</v>
      </c>
      <c r="H902" t="s">
        <v>179</v>
      </c>
      <c r="I902" t="s">
        <v>107</v>
      </c>
      <c r="J902" t="s">
        <v>96</v>
      </c>
      <c r="K902">
        <v>1</v>
      </c>
      <c r="L902" t="s">
        <v>154</v>
      </c>
      <c r="M902">
        <v>0.79</v>
      </c>
      <c r="N902" t="s">
        <v>357</v>
      </c>
      <c r="O902" t="s">
        <v>154</v>
      </c>
      <c r="P902">
        <v>61956</v>
      </c>
      <c r="Q902">
        <v>16.3</v>
      </c>
      <c r="R902">
        <v>0.1</v>
      </c>
      <c r="S902" t="b">
        <v>1</v>
      </c>
      <c r="T902">
        <v>1</v>
      </c>
      <c r="U902">
        <v>14</v>
      </c>
      <c r="V902" t="s">
        <v>0</v>
      </c>
    </row>
    <row r="903" spans="1:22" x14ac:dyDescent="0.25">
      <c r="A903" t="s">
        <v>356</v>
      </c>
      <c r="B903">
        <v>2024</v>
      </c>
      <c r="C903" t="s">
        <v>51</v>
      </c>
      <c r="D903" t="s">
        <v>18</v>
      </c>
      <c r="E903" t="s">
        <v>7</v>
      </c>
      <c r="F903" t="s">
        <v>41</v>
      </c>
      <c r="G903" t="s">
        <v>25</v>
      </c>
      <c r="H903" t="s">
        <v>34</v>
      </c>
      <c r="I903" t="s">
        <v>74</v>
      </c>
      <c r="J903" t="s">
        <v>73</v>
      </c>
      <c r="K903">
        <v>0</v>
      </c>
      <c r="M903">
        <v>0.12</v>
      </c>
      <c r="N903" t="s">
        <v>355</v>
      </c>
      <c r="P903">
        <v>77075</v>
      </c>
      <c r="Q903">
        <v>-5</v>
      </c>
      <c r="R903">
        <v>0.83</v>
      </c>
      <c r="S903" t="b">
        <v>0</v>
      </c>
      <c r="T903">
        <v>2</v>
      </c>
      <c r="U903">
        <v>8</v>
      </c>
      <c r="V903" t="s">
        <v>0</v>
      </c>
    </row>
    <row r="904" spans="1:22" x14ac:dyDescent="0.25">
      <c r="A904" t="s">
        <v>354</v>
      </c>
      <c r="B904">
        <v>2024</v>
      </c>
      <c r="C904" t="s">
        <v>171</v>
      </c>
      <c r="D904" t="s">
        <v>57</v>
      </c>
      <c r="E904" t="s">
        <v>121</v>
      </c>
      <c r="F904" t="s">
        <v>136</v>
      </c>
      <c r="G904" t="s">
        <v>135</v>
      </c>
      <c r="H904" t="s">
        <v>49</v>
      </c>
      <c r="I904" t="s">
        <v>14</v>
      </c>
      <c r="J904" t="s">
        <v>2</v>
      </c>
      <c r="K904">
        <v>1</v>
      </c>
      <c r="L904" t="s">
        <v>352</v>
      </c>
      <c r="M904">
        <v>0.5</v>
      </c>
      <c r="N904" t="s">
        <v>353</v>
      </c>
      <c r="O904" t="s">
        <v>352</v>
      </c>
      <c r="P904">
        <v>139316</v>
      </c>
      <c r="Q904">
        <v>13.75</v>
      </c>
      <c r="R904">
        <v>0.13</v>
      </c>
      <c r="S904" t="b">
        <v>1</v>
      </c>
      <c r="T904">
        <v>3</v>
      </c>
      <c r="U904">
        <v>9</v>
      </c>
      <c r="V904" t="s">
        <v>46</v>
      </c>
    </row>
    <row r="905" spans="1:22" x14ac:dyDescent="0.25">
      <c r="A905" t="s">
        <v>351</v>
      </c>
      <c r="B905">
        <v>2024</v>
      </c>
      <c r="C905" t="s">
        <v>98</v>
      </c>
      <c r="D905" t="s">
        <v>43</v>
      </c>
      <c r="E905" t="s">
        <v>50</v>
      </c>
      <c r="F905" t="s">
        <v>108</v>
      </c>
      <c r="G905" t="s">
        <v>5</v>
      </c>
      <c r="H905" t="s">
        <v>141</v>
      </c>
      <c r="I905" t="s">
        <v>68</v>
      </c>
      <c r="J905" t="s">
        <v>79</v>
      </c>
      <c r="K905">
        <v>0</v>
      </c>
      <c r="M905">
        <v>0.19</v>
      </c>
      <c r="N905" t="s">
        <v>350</v>
      </c>
      <c r="P905">
        <v>89512</v>
      </c>
      <c r="Q905">
        <v>-4.3499999999999996</v>
      </c>
      <c r="R905">
        <v>0.67</v>
      </c>
      <c r="S905" t="b">
        <v>0</v>
      </c>
      <c r="T905">
        <v>3</v>
      </c>
      <c r="U905">
        <v>18</v>
      </c>
      <c r="V905" t="s">
        <v>0</v>
      </c>
    </row>
    <row r="906" spans="1:22" x14ac:dyDescent="0.25">
      <c r="A906" t="s">
        <v>349</v>
      </c>
      <c r="B906">
        <v>2024</v>
      </c>
      <c r="C906" t="s">
        <v>348</v>
      </c>
      <c r="D906" t="s">
        <v>64</v>
      </c>
      <c r="E906" t="s">
        <v>50</v>
      </c>
      <c r="F906" t="s">
        <v>41</v>
      </c>
      <c r="G906" t="s">
        <v>135</v>
      </c>
      <c r="H906" t="s">
        <v>4</v>
      </c>
      <c r="I906" t="s">
        <v>3</v>
      </c>
      <c r="J906" t="s">
        <v>23</v>
      </c>
      <c r="K906">
        <v>1</v>
      </c>
      <c r="L906" t="s">
        <v>346</v>
      </c>
      <c r="M906">
        <v>0.49</v>
      </c>
      <c r="N906" t="s">
        <v>347</v>
      </c>
      <c r="O906" t="s">
        <v>346</v>
      </c>
      <c r="P906">
        <v>151316</v>
      </c>
      <c r="Q906">
        <v>5.86</v>
      </c>
      <c r="R906">
        <v>0.26</v>
      </c>
      <c r="S906" t="b">
        <v>1</v>
      </c>
      <c r="T906">
        <v>2</v>
      </c>
      <c r="U906">
        <v>6</v>
      </c>
      <c r="V906" t="s">
        <v>0</v>
      </c>
    </row>
    <row r="907" spans="1:22" x14ac:dyDescent="0.25">
      <c r="A907" t="s">
        <v>345</v>
      </c>
      <c r="B907">
        <v>2024</v>
      </c>
      <c r="C907" t="s">
        <v>86</v>
      </c>
      <c r="D907" t="s">
        <v>131</v>
      </c>
      <c r="E907" t="s">
        <v>116</v>
      </c>
      <c r="F907" t="s">
        <v>55</v>
      </c>
      <c r="G907" t="s">
        <v>135</v>
      </c>
      <c r="H907" t="s">
        <v>49</v>
      </c>
      <c r="I907" t="s">
        <v>107</v>
      </c>
      <c r="J907" t="s">
        <v>73</v>
      </c>
      <c r="K907">
        <v>1</v>
      </c>
      <c r="L907" t="s">
        <v>343</v>
      </c>
      <c r="M907">
        <v>0.93</v>
      </c>
      <c r="N907" t="s">
        <v>344</v>
      </c>
      <c r="O907" t="s">
        <v>343</v>
      </c>
      <c r="P907">
        <v>51708</v>
      </c>
      <c r="Q907">
        <v>13.9</v>
      </c>
      <c r="R907">
        <v>0.22</v>
      </c>
      <c r="S907" t="b">
        <v>1</v>
      </c>
      <c r="T907">
        <v>1</v>
      </c>
      <c r="U907">
        <v>12</v>
      </c>
      <c r="V907" t="s">
        <v>46</v>
      </c>
    </row>
    <row r="908" spans="1:22" x14ac:dyDescent="0.25">
      <c r="A908" t="s">
        <v>342</v>
      </c>
      <c r="B908">
        <v>2024</v>
      </c>
      <c r="C908" t="s">
        <v>70</v>
      </c>
      <c r="D908" t="s">
        <v>18</v>
      </c>
      <c r="E908" t="s">
        <v>7</v>
      </c>
      <c r="F908" t="s">
        <v>6</v>
      </c>
      <c r="G908" t="s">
        <v>5</v>
      </c>
      <c r="H908" t="s">
        <v>15</v>
      </c>
      <c r="I908" t="s">
        <v>40</v>
      </c>
      <c r="J908" t="s">
        <v>23</v>
      </c>
      <c r="K908">
        <v>1</v>
      </c>
      <c r="L908" t="s">
        <v>340</v>
      </c>
      <c r="M908">
        <v>0.47</v>
      </c>
      <c r="N908" t="s">
        <v>341</v>
      </c>
      <c r="O908" t="s">
        <v>340</v>
      </c>
      <c r="P908">
        <v>110321</v>
      </c>
      <c r="Q908">
        <v>8.1999999999999993</v>
      </c>
      <c r="R908">
        <v>0.31</v>
      </c>
      <c r="S908" t="b">
        <v>1</v>
      </c>
      <c r="T908">
        <v>1</v>
      </c>
      <c r="U908">
        <v>17</v>
      </c>
      <c r="V908" t="s">
        <v>0</v>
      </c>
    </row>
    <row r="909" spans="1:22" x14ac:dyDescent="0.25">
      <c r="A909" t="s">
        <v>339</v>
      </c>
      <c r="B909">
        <v>2024</v>
      </c>
      <c r="C909" t="s">
        <v>70</v>
      </c>
      <c r="D909" t="s">
        <v>18</v>
      </c>
      <c r="E909" t="s">
        <v>27</v>
      </c>
      <c r="F909" t="s">
        <v>63</v>
      </c>
      <c r="G909" t="s">
        <v>135</v>
      </c>
      <c r="H909" t="s">
        <v>15</v>
      </c>
      <c r="I909" t="s">
        <v>90</v>
      </c>
      <c r="J909" t="s">
        <v>2</v>
      </c>
      <c r="K909">
        <v>1</v>
      </c>
      <c r="L909" t="s">
        <v>337</v>
      </c>
      <c r="M909">
        <v>0.61</v>
      </c>
      <c r="N909" t="s">
        <v>338</v>
      </c>
      <c r="O909" t="s">
        <v>337</v>
      </c>
      <c r="P909">
        <v>121484</v>
      </c>
      <c r="Q909">
        <v>6.94</v>
      </c>
      <c r="R909">
        <v>0.21</v>
      </c>
      <c r="S909" t="b">
        <v>1</v>
      </c>
      <c r="T909">
        <v>1</v>
      </c>
      <c r="U909">
        <v>8</v>
      </c>
      <c r="V909" t="s">
        <v>0</v>
      </c>
    </row>
    <row r="910" spans="1:22" x14ac:dyDescent="0.25">
      <c r="A910" t="s">
        <v>336</v>
      </c>
      <c r="B910">
        <v>2024</v>
      </c>
      <c r="C910" t="s">
        <v>117</v>
      </c>
      <c r="D910" t="s">
        <v>91</v>
      </c>
      <c r="E910" t="s">
        <v>219</v>
      </c>
      <c r="F910" t="s">
        <v>35</v>
      </c>
      <c r="G910" t="s">
        <v>135</v>
      </c>
      <c r="H910" t="s">
        <v>85</v>
      </c>
      <c r="I910" t="s">
        <v>107</v>
      </c>
      <c r="J910" t="s">
        <v>96</v>
      </c>
      <c r="K910">
        <v>0</v>
      </c>
      <c r="M910">
        <v>0.06</v>
      </c>
      <c r="N910" t="s">
        <v>335</v>
      </c>
      <c r="P910">
        <v>60711</v>
      </c>
      <c r="Q910">
        <v>-4.4800000000000004</v>
      </c>
      <c r="R910">
        <v>0.7</v>
      </c>
      <c r="S910" t="b">
        <v>0</v>
      </c>
      <c r="T910">
        <v>1</v>
      </c>
      <c r="U910">
        <v>10</v>
      </c>
      <c r="V910" t="s">
        <v>0</v>
      </c>
    </row>
    <row r="911" spans="1:22" x14ac:dyDescent="0.25">
      <c r="A911" t="s">
        <v>334</v>
      </c>
      <c r="B911">
        <v>2024</v>
      </c>
      <c r="C911" t="s">
        <v>333</v>
      </c>
      <c r="D911" t="s">
        <v>28</v>
      </c>
      <c r="E911" t="s">
        <v>42</v>
      </c>
      <c r="F911" t="s">
        <v>35</v>
      </c>
      <c r="G911" t="s">
        <v>5</v>
      </c>
      <c r="H911" t="s">
        <v>102</v>
      </c>
      <c r="I911" t="s">
        <v>90</v>
      </c>
      <c r="J911" t="s">
        <v>73</v>
      </c>
      <c r="K911">
        <v>1</v>
      </c>
      <c r="L911" t="s">
        <v>331</v>
      </c>
      <c r="M911">
        <v>0.61</v>
      </c>
      <c r="N911" t="s">
        <v>332</v>
      </c>
      <c r="O911" t="s">
        <v>331</v>
      </c>
      <c r="P911">
        <v>61370</v>
      </c>
      <c r="Q911">
        <v>17.13</v>
      </c>
      <c r="R911">
        <v>0.16</v>
      </c>
      <c r="S911" t="b">
        <v>1</v>
      </c>
      <c r="T911">
        <v>1</v>
      </c>
      <c r="U911">
        <v>16</v>
      </c>
      <c r="V911" t="s">
        <v>46</v>
      </c>
    </row>
    <row r="912" spans="1:22" x14ac:dyDescent="0.25">
      <c r="A912" t="s">
        <v>330</v>
      </c>
      <c r="B912">
        <v>2024</v>
      </c>
      <c r="C912" t="s">
        <v>152</v>
      </c>
      <c r="D912" t="s">
        <v>28</v>
      </c>
      <c r="E912" t="s">
        <v>147</v>
      </c>
      <c r="F912" t="s">
        <v>35</v>
      </c>
      <c r="G912" t="s">
        <v>135</v>
      </c>
      <c r="H912" t="s">
        <v>4</v>
      </c>
      <c r="I912" t="s">
        <v>97</v>
      </c>
      <c r="J912" t="s">
        <v>73</v>
      </c>
      <c r="K912">
        <v>0</v>
      </c>
      <c r="M912">
        <v>0.18</v>
      </c>
      <c r="N912" t="s">
        <v>329</v>
      </c>
      <c r="P912">
        <v>56696</v>
      </c>
      <c r="Q912">
        <v>3</v>
      </c>
      <c r="R912">
        <v>0.75</v>
      </c>
      <c r="S912" t="b">
        <v>0</v>
      </c>
      <c r="T912">
        <v>1</v>
      </c>
      <c r="U912">
        <v>0</v>
      </c>
      <c r="V912" t="s">
        <v>0</v>
      </c>
    </row>
    <row r="913" spans="1:22" x14ac:dyDescent="0.25">
      <c r="A913" t="s">
        <v>328</v>
      </c>
      <c r="B913">
        <v>2024</v>
      </c>
      <c r="C913" t="s">
        <v>44</v>
      </c>
      <c r="D913" t="s">
        <v>43</v>
      </c>
      <c r="E913" t="s">
        <v>56</v>
      </c>
      <c r="F913" t="s">
        <v>108</v>
      </c>
      <c r="G913" t="s">
        <v>62</v>
      </c>
      <c r="H913" t="s">
        <v>141</v>
      </c>
      <c r="I913" t="s">
        <v>24</v>
      </c>
      <c r="J913" t="s">
        <v>73</v>
      </c>
      <c r="K913">
        <v>1</v>
      </c>
      <c r="L913" t="s">
        <v>326</v>
      </c>
      <c r="M913">
        <v>0.72</v>
      </c>
      <c r="N913" t="s">
        <v>327</v>
      </c>
      <c r="O913" t="s">
        <v>326</v>
      </c>
      <c r="P913">
        <v>105533</v>
      </c>
      <c r="Q913">
        <v>5.52</v>
      </c>
      <c r="R913">
        <v>0.16</v>
      </c>
      <c r="S913" t="b">
        <v>1</v>
      </c>
      <c r="T913">
        <v>3</v>
      </c>
      <c r="U913">
        <v>8</v>
      </c>
      <c r="V913" t="s">
        <v>0</v>
      </c>
    </row>
    <row r="914" spans="1:22" x14ac:dyDescent="0.25">
      <c r="A914" t="s">
        <v>325</v>
      </c>
      <c r="B914">
        <v>2024</v>
      </c>
      <c r="C914" t="s">
        <v>70</v>
      </c>
      <c r="D914" t="s">
        <v>18</v>
      </c>
      <c r="E914" t="s">
        <v>36</v>
      </c>
      <c r="F914" t="s">
        <v>112</v>
      </c>
      <c r="G914" t="s">
        <v>5</v>
      </c>
      <c r="H914" t="s">
        <v>4</v>
      </c>
      <c r="I914" t="s">
        <v>14</v>
      </c>
      <c r="J914" t="s">
        <v>73</v>
      </c>
      <c r="K914">
        <v>0</v>
      </c>
      <c r="M914">
        <v>0.15</v>
      </c>
      <c r="N914" t="s">
        <v>324</v>
      </c>
      <c r="P914">
        <v>66924</v>
      </c>
      <c r="Q914">
        <v>2.65</v>
      </c>
      <c r="R914">
        <v>0.66</v>
      </c>
      <c r="S914" t="b">
        <v>0</v>
      </c>
      <c r="T914">
        <v>3</v>
      </c>
      <c r="U914">
        <v>6</v>
      </c>
      <c r="V914" t="s">
        <v>0</v>
      </c>
    </row>
    <row r="915" spans="1:22" x14ac:dyDescent="0.25">
      <c r="A915" t="s">
        <v>323</v>
      </c>
      <c r="B915">
        <v>2024</v>
      </c>
      <c r="C915" t="s">
        <v>176</v>
      </c>
      <c r="D915" t="s">
        <v>64</v>
      </c>
      <c r="E915" t="s">
        <v>147</v>
      </c>
      <c r="F915" t="s">
        <v>124</v>
      </c>
      <c r="G915" t="s">
        <v>5</v>
      </c>
      <c r="H915" t="s">
        <v>85</v>
      </c>
      <c r="I915" t="s">
        <v>24</v>
      </c>
      <c r="J915" t="s">
        <v>73</v>
      </c>
      <c r="K915">
        <v>1</v>
      </c>
      <c r="L915" t="s">
        <v>321</v>
      </c>
      <c r="M915">
        <v>0.63</v>
      </c>
      <c r="N915" t="s">
        <v>322</v>
      </c>
      <c r="O915" t="s">
        <v>321</v>
      </c>
      <c r="P915">
        <v>120429</v>
      </c>
      <c r="Q915">
        <v>17.32</v>
      </c>
      <c r="R915">
        <v>0.37</v>
      </c>
      <c r="S915" t="b">
        <v>1</v>
      </c>
      <c r="T915">
        <v>3</v>
      </c>
      <c r="U915">
        <v>17</v>
      </c>
      <c r="V915" t="s">
        <v>0</v>
      </c>
    </row>
    <row r="916" spans="1:22" x14ac:dyDescent="0.25">
      <c r="A916" t="s">
        <v>320</v>
      </c>
      <c r="B916">
        <v>2024</v>
      </c>
      <c r="C916" t="s">
        <v>152</v>
      </c>
      <c r="D916" t="s">
        <v>28</v>
      </c>
      <c r="E916" t="s">
        <v>121</v>
      </c>
      <c r="F916" t="s">
        <v>124</v>
      </c>
      <c r="G916" t="s">
        <v>5</v>
      </c>
      <c r="H916" t="s">
        <v>4</v>
      </c>
      <c r="I916" t="s">
        <v>14</v>
      </c>
      <c r="J916" t="s">
        <v>2</v>
      </c>
      <c r="K916">
        <v>1</v>
      </c>
      <c r="L916" t="s">
        <v>318</v>
      </c>
      <c r="M916">
        <v>0.87</v>
      </c>
      <c r="N916" t="s">
        <v>319</v>
      </c>
      <c r="O916" t="s">
        <v>318</v>
      </c>
      <c r="P916">
        <v>79091</v>
      </c>
      <c r="Q916">
        <v>8.36</v>
      </c>
      <c r="R916">
        <v>0.27</v>
      </c>
      <c r="S916" t="b">
        <v>1</v>
      </c>
      <c r="T916">
        <v>2</v>
      </c>
      <c r="U916">
        <v>15</v>
      </c>
      <c r="V916" t="s">
        <v>0</v>
      </c>
    </row>
    <row r="917" spans="1:22" x14ac:dyDescent="0.25">
      <c r="A917" t="s">
        <v>317</v>
      </c>
      <c r="B917">
        <v>2024</v>
      </c>
      <c r="C917" t="s">
        <v>316</v>
      </c>
      <c r="D917" t="s">
        <v>43</v>
      </c>
      <c r="E917" t="s">
        <v>17</v>
      </c>
      <c r="F917" t="s">
        <v>136</v>
      </c>
      <c r="G917" t="s">
        <v>135</v>
      </c>
      <c r="H917" t="s">
        <v>85</v>
      </c>
      <c r="I917" t="s">
        <v>74</v>
      </c>
      <c r="J917" t="s">
        <v>96</v>
      </c>
      <c r="K917">
        <v>0</v>
      </c>
      <c r="M917">
        <v>0.14000000000000001</v>
      </c>
      <c r="N917" t="s">
        <v>315</v>
      </c>
      <c r="P917">
        <v>74876</v>
      </c>
      <c r="Q917">
        <v>1.06</v>
      </c>
      <c r="R917">
        <v>0.81</v>
      </c>
      <c r="S917" t="b">
        <v>0</v>
      </c>
      <c r="T917">
        <v>2</v>
      </c>
      <c r="U917">
        <v>7</v>
      </c>
      <c r="V917" t="s">
        <v>0</v>
      </c>
    </row>
    <row r="918" spans="1:22" x14ac:dyDescent="0.25">
      <c r="A918" t="s">
        <v>314</v>
      </c>
      <c r="B918">
        <v>2024</v>
      </c>
      <c r="C918" t="s">
        <v>104</v>
      </c>
      <c r="D918" t="s">
        <v>8</v>
      </c>
      <c r="E918" t="s">
        <v>17</v>
      </c>
      <c r="F918" t="s">
        <v>63</v>
      </c>
      <c r="G918" t="s">
        <v>135</v>
      </c>
      <c r="H918" t="s">
        <v>141</v>
      </c>
      <c r="I918" t="s">
        <v>68</v>
      </c>
      <c r="J918" t="s">
        <v>2</v>
      </c>
      <c r="K918">
        <v>1</v>
      </c>
      <c r="L918" t="s">
        <v>150</v>
      </c>
      <c r="M918">
        <v>0.77</v>
      </c>
      <c r="N918" t="s">
        <v>313</v>
      </c>
      <c r="O918" t="s">
        <v>150</v>
      </c>
      <c r="P918">
        <v>36092</v>
      </c>
      <c r="Q918">
        <v>15.69</v>
      </c>
      <c r="R918">
        <v>0.17</v>
      </c>
      <c r="S918" t="b">
        <v>1</v>
      </c>
      <c r="T918">
        <v>2</v>
      </c>
      <c r="U918">
        <v>7</v>
      </c>
      <c r="V918" t="s">
        <v>0</v>
      </c>
    </row>
    <row r="919" spans="1:22" x14ac:dyDescent="0.25">
      <c r="A919" t="s">
        <v>312</v>
      </c>
      <c r="B919">
        <v>2024</v>
      </c>
      <c r="C919" t="s">
        <v>311</v>
      </c>
      <c r="D919" t="s">
        <v>125</v>
      </c>
      <c r="E919" t="s">
        <v>116</v>
      </c>
      <c r="F919" t="s">
        <v>63</v>
      </c>
      <c r="G919" t="s">
        <v>5</v>
      </c>
      <c r="H919" t="s">
        <v>141</v>
      </c>
      <c r="I919" t="s">
        <v>74</v>
      </c>
      <c r="J919" t="s">
        <v>13</v>
      </c>
      <c r="K919">
        <v>0</v>
      </c>
      <c r="M919">
        <v>0.04</v>
      </c>
      <c r="N919" t="s">
        <v>310</v>
      </c>
      <c r="P919">
        <v>27154</v>
      </c>
      <c r="Q919">
        <v>3.18</v>
      </c>
      <c r="R919">
        <v>0.64</v>
      </c>
      <c r="S919" t="b">
        <v>0</v>
      </c>
      <c r="T919">
        <v>3</v>
      </c>
      <c r="U919">
        <v>1</v>
      </c>
      <c r="V919" t="s">
        <v>0</v>
      </c>
    </row>
    <row r="920" spans="1:22" x14ac:dyDescent="0.25">
      <c r="A920" t="s">
        <v>309</v>
      </c>
      <c r="B920">
        <v>2024</v>
      </c>
      <c r="C920" t="s">
        <v>157</v>
      </c>
      <c r="D920" t="s">
        <v>18</v>
      </c>
      <c r="E920" t="s">
        <v>130</v>
      </c>
      <c r="F920" t="s">
        <v>108</v>
      </c>
      <c r="G920" t="s">
        <v>5</v>
      </c>
      <c r="H920" t="s">
        <v>85</v>
      </c>
      <c r="I920" t="s">
        <v>24</v>
      </c>
      <c r="J920" t="s">
        <v>13</v>
      </c>
      <c r="K920">
        <v>0</v>
      </c>
      <c r="M920">
        <v>0.09</v>
      </c>
      <c r="N920" t="s">
        <v>308</v>
      </c>
      <c r="P920">
        <v>69874</v>
      </c>
      <c r="Q920">
        <v>-1.47</v>
      </c>
      <c r="R920">
        <v>0.62</v>
      </c>
      <c r="S920" t="b">
        <v>0</v>
      </c>
      <c r="T920">
        <v>2</v>
      </c>
      <c r="U920">
        <v>3</v>
      </c>
      <c r="V920" t="s">
        <v>0</v>
      </c>
    </row>
    <row r="921" spans="1:22" x14ac:dyDescent="0.25">
      <c r="A921" t="s">
        <v>307</v>
      </c>
      <c r="B921">
        <v>2024</v>
      </c>
      <c r="C921" t="s">
        <v>176</v>
      </c>
      <c r="D921" t="s">
        <v>64</v>
      </c>
      <c r="E921" t="s">
        <v>36</v>
      </c>
      <c r="F921" t="s">
        <v>75</v>
      </c>
      <c r="G921" t="s">
        <v>25</v>
      </c>
      <c r="H921" t="s">
        <v>102</v>
      </c>
      <c r="I921" t="s">
        <v>14</v>
      </c>
      <c r="J921" t="s">
        <v>13</v>
      </c>
      <c r="K921">
        <v>1</v>
      </c>
      <c r="L921" t="s">
        <v>133</v>
      </c>
      <c r="M921">
        <v>0.63</v>
      </c>
      <c r="N921" t="s">
        <v>306</v>
      </c>
      <c r="O921" t="s">
        <v>133</v>
      </c>
      <c r="P921">
        <v>153397</v>
      </c>
      <c r="Q921">
        <v>13.59</v>
      </c>
      <c r="R921">
        <v>0.3</v>
      </c>
      <c r="S921" t="b">
        <v>1</v>
      </c>
      <c r="T921">
        <v>1</v>
      </c>
      <c r="U921">
        <v>2</v>
      </c>
      <c r="V921" t="s">
        <v>46</v>
      </c>
    </row>
    <row r="922" spans="1:22" x14ac:dyDescent="0.25">
      <c r="A922" t="s">
        <v>305</v>
      </c>
      <c r="B922">
        <v>2024</v>
      </c>
      <c r="C922" t="s">
        <v>304</v>
      </c>
      <c r="D922" t="s">
        <v>131</v>
      </c>
      <c r="E922" t="s">
        <v>42</v>
      </c>
      <c r="F922" t="s">
        <v>63</v>
      </c>
      <c r="G922" t="s">
        <v>16</v>
      </c>
      <c r="H922" t="s">
        <v>61</v>
      </c>
      <c r="I922" t="s">
        <v>40</v>
      </c>
      <c r="J922" t="s">
        <v>96</v>
      </c>
      <c r="K922">
        <v>1</v>
      </c>
      <c r="L922" t="s">
        <v>302</v>
      </c>
      <c r="M922">
        <v>0.67</v>
      </c>
      <c r="N922" t="s">
        <v>303</v>
      </c>
      <c r="O922" t="s">
        <v>302</v>
      </c>
      <c r="P922">
        <v>59351</v>
      </c>
      <c r="Q922">
        <v>6.04</v>
      </c>
      <c r="R922">
        <v>0.28000000000000003</v>
      </c>
      <c r="S922" t="b">
        <v>1</v>
      </c>
      <c r="T922">
        <v>3</v>
      </c>
      <c r="U922">
        <v>19</v>
      </c>
      <c r="V922" t="s">
        <v>0</v>
      </c>
    </row>
    <row r="923" spans="1:22" x14ac:dyDescent="0.25">
      <c r="A923" t="s">
        <v>301</v>
      </c>
      <c r="B923">
        <v>2024</v>
      </c>
      <c r="C923" t="s">
        <v>81</v>
      </c>
      <c r="D923" t="s">
        <v>28</v>
      </c>
      <c r="E923" t="s">
        <v>42</v>
      </c>
      <c r="F923" t="s">
        <v>75</v>
      </c>
      <c r="G923" t="s">
        <v>16</v>
      </c>
      <c r="H923" t="s">
        <v>85</v>
      </c>
      <c r="I923" t="s">
        <v>74</v>
      </c>
      <c r="J923" t="s">
        <v>2</v>
      </c>
      <c r="K923">
        <v>1</v>
      </c>
      <c r="L923" t="s">
        <v>196</v>
      </c>
      <c r="M923">
        <v>0.51</v>
      </c>
      <c r="N923" t="s">
        <v>300</v>
      </c>
      <c r="O923" t="s">
        <v>196</v>
      </c>
      <c r="P923">
        <v>65792</v>
      </c>
      <c r="Q923">
        <v>7.02</v>
      </c>
      <c r="R923">
        <v>0.26</v>
      </c>
      <c r="S923" t="b">
        <v>1</v>
      </c>
      <c r="T923">
        <v>2</v>
      </c>
      <c r="U923">
        <v>5</v>
      </c>
      <c r="V923" t="s">
        <v>0</v>
      </c>
    </row>
    <row r="924" spans="1:22" x14ac:dyDescent="0.25">
      <c r="A924" t="s">
        <v>299</v>
      </c>
      <c r="B924">
        <v>2024</v>
      </c>
      <c r="C924" t="s">
        <v>298</v>
      </c>
      <c r="D924" t="s">
        <v>125</v>
      </c>
      <c r="E924" t="s">
        <v>7</v>
      </c>
      <c r="F924" t="s">
        <v>103</v>
      </c>
      <c r="G924" t="s">
        <v>135</v>
      </c>
      <c r="H924" t="s">
        <v>4</v>
      </c>
      <c r="I924" t="s">
        <v>68</v>
      </c>
      <c r="J924" t="s">
        <v>96</v>
      </c>
      <c r="K924">
        <v>1</v>
      </c>
      <c r="L924" t="s">
        <v>296</v>
      </c>
      <c r="M924">
        <v>0.61</v>
      </c>
      <c r="N924" t="s">
        <v>297</v>
      </c>
      <c r="O924" t="s">
        <v>296</v>
      </c>
      <c r="P924">
        <v>34462</v>
      </c>
      <c r="Q924">
        <v>9.17</v>
      </c>
      <c r="R924">
        <v>0.34</v>
      </c>
      <c r="S924" t="b">
        <v>1</v>
      </c>
      <c r="T924">
        <v>2</v>
      </c>
      <c r="U924">
        <v>9</v>
      </c>
      <c r="V924" t="s">
        <v>0</v>
      </c>
    </row>
    <row r="925" spans="1:22" x14ac:dyDescent="0.25">
      <c r="A925" t="s">
        <v>295</v>
      </c>
      <c r="B925">
        <v>2024</v>
      </c>
      <c r="C925" t="s">
        <v>137</v>
      </c>
      <c r="D925" t="s">
        <v>43</v>
      </c>
      <c r="E925" t="s">
        <v>147</v>
      </c>
      <c r="F925" t="s">
        <v>136</v>
      </c>
      <c r="G925" t="s">
        <v>25</v>
      </c>
      <c r="H925" t="s">
        <v>102</v>
      </c>
      <c r="I925" t="s">
        <v>74</v>
      </c>
      <c r="J925" t="s">
        <v>2</v>
      </c>
      <c r="K925">
        <v>1</v>
      </c>
      <c r="L925" t="s">
        <v>293</v>
      </c>
      <c r="M925">
        <v>0.88</v>
      </c>
      <c r="N925" t="s">
        <v>294</v>
      </c>
      <c r="O925" t="s">
        <v>293</v>
      </c>
      <c r="P925">
        <v>121940</v>
      </c>
      <c r="Q925">
        <v>7.66</v>
      </c>
      <c r="R925">
        <v>0.15</v>
      </c>
      <c r="S925" t="b">
        <v>1</v>
      </c>
      <c r="T925">
        <v>1</v>
      </c>
      <c r="U925">
        <v>3</v>
      </c>
      <c r="V925" t="s">
        <v>46</v>
      </c>
    </row>
    <row r="926" spans="1:22" x14ac:dyDescent="0.25">
      <c r="A926" t="s">
        <v>292</v>
      </c>
      <c r="B926">
        <v>2024</v>
      </c>
      <c r="C926" t="s">
        <v>176</v>
      </c>
      <c r="D926" t="s">
        <v>64</v>
      </c>
      <c r="E926" t="s">
        <v>17</v>
      </c>
      <c r="F926" t="s">
        <v>63</v>
      </c>
      <c r="G926" t="s">
        <v>16</v>
      </c>
      <c r="H926" t="s">
        <v>85</v>
      </c>
      <c r="I926" t="s">
        <v>107</v>
      </c>
      <c r="J926" t="s">
        <v>73</v>
      </c>
      <c r="K926">
        <v>0</v>
      </c>
      <c r="M926">
        <v>0.1</v>
      </c>
      <c r="N926" t="s">
        <v>291</v>
      </c>
      <c r="P926">
        <v>94161</v>
      </c>
      <c r="Q926">
        <v>-0.41</v>
      </c>
      <c r="R926">
        <v>0.65</v>
      </c>
      <c r="S926" t="b">
        <v>0</v>
      </c>
      <c r="T926">
        <v>3</v>
      </c>
      <c r="U926">
        <v>9</v>
      </c>
      <c r="V926" t="s">
        <v>0</v>
      </c>
    </row>
    <row r="927" spans="1:22" x14ac:dyDescent="0.25">
      <c r="A927" t="s">
        <v>290</v>
      </c>
      <c r="B927">
        <v>2024</v>
      </c>
      <c r="C927" t="s">
        <v>29</v>
      </c>
      <c r="D927" t="s">
        <v>28</v>
      </c>
      <c r="E927" t="s">
        <v>116</v>
      </c>
      <c r="F927" t="s">
        <v>75</v>
      </c>
      <c r="G927" t="s">
        <v>5</v>
      </c>
      <c r="H927" t="s">
        <v>179</v>
      </c>
      <c r="I927" t="s">
        <v>3</v>
      </c>
      <c r="J927" t="s">
        <v>73</v>
      </c>
      <c r="K927">
        <v>1</v>
      </c>
      <c r="L927" t="s">
        <v>47</v>
      </c>
      <c r="M927">
        <v>0.46</v>
      </c>
      <c r="N927" t="s">
        <v>289</v>
      </c>
      <c r="O927" t="s">
        <v>47</v>
      </c>
      <c r="P927">
        <v>62574</v>
      </c>
      <c r="Q927">
        <v>15.13</v>
      </c>
      <c r="R927">
        <v>0.15</v>
      </c>
      <c r="S927" t="b">
        <v>1</v>
      </c>
      <c r="T927">
        <v>1</v>
      </c>
      <c r="U927">
        <v>13</v>
      </c>
      <c r="V927" t="s">
        <v>0</v>
      </c>
    </row>
    <row r="928" spans="1:22" x14ac:dyDescent="0.25">
      <c r="A928" t="s">
        <v>288</v>
      </c>
      <c r="B928">
        <v>2024</v>
      </c>
      <c r="C928" t="s">
        <v>287</v>
      </c>
      <c r="D928" t="s">
        <v>43</v>
      </c>
      <c r="E928" t="s">
        <v>219</v>
      </c>
      <c r="F928" t="s">
        <v>124</v>
      </c>
      <c r="G928" t="s">
        <v>25</v>
      </c>
      <c r="H928" t="s">
        <v>179</v>
      </c>
      <c r="I928" t="s">
        <v>3</v>
      </c>
      <c r="J928" t="s">
        <v>2</v>
      </c>
      <c r="K928">
        <v>1</v>
      </c>
      <c r="L928" t="s">
        <v>285</v>
      </c>
      <c r="M928">
        <v>0.48</v>
      </c>
      <c r="N928" t="s">
        <v>286</v>
      </c>
      <c r="O928" t="s">
        <v>285</v>
      </c>
      <c r="P928">
        <v>135990</v>
      </c>
      <c r="Q928">
        <v>10.220000000000001</v>
      </c>
      <c r="R928">
        <v>0.12</v>
      </c>
      <c r="S928" t="b">
        <v>1</v>
      </c>
      <c r="T928">
        <v>3</v>
      </c>
      <c r="U928">
        <v>8</v>
      </c>
      <c r="V928" t="s">
        <v>0</v>
      </c>
    </row>
    <row r="929" spans="1:22" x14ac:dyDescent="0.25">
      <c r="A929" t="s">
        <v>284</v>
      </c>
      <c r="B929">
        <v>2024</v>
      </c>
      <c r="C929" t="s">
        <v>161</v>
      </c>
      <c r="D929" t="s">
        <v>8</v>
      </c>
      <c r="E929" t="s">
        <v>50</v>
      </c>
      <c r="F929" t="s">
        <v>55</v>
      </c>
      <c r="G929" t="s">
        <v>16</v>
      </c>
      <c r="H929" t="s">
        <v>102</v>
      </c>
      <c r="I929" t="s">
        <v>3</v>
      </c>
      <c r="J929" t="s">
        <v>23</v>
      </c>
      <c r="K929">
        <v>0</v>
      </c>
      <c r="M929">
        <v>0.1</v>
      </c>
      <c r="N929" t="s">
        <v>283</v>
      </c>
      <c r="P929">
        <v>29384</v>
      </c>
      <c r="Q929">
        <v>-3.11</v>
      </c>
      <c r="R929">
        <v>0.69</v>
      </c>
      <c r="S929" t="b">
        <v>0</v>
      </c>
      <c r="T929">
        <v>2</v>
      </c>
      <c r="U929">
        <v>2</v>
      </c>
      <c r="V929" t="s">
        <v>46</v>
      </c>
    </row>
    <row r="930" spans="1:22" x14ac:dyDescent="0.25">
      <c r="A930" t="s">
        <v>282</v>
      </c>
      <c r="B930">
        <v>2025</v>
      </c>
      <c r="C930" t="s">
        <v>281</v>
      </c>
      <c r="D930" t="s">
        <v>91</v>
      </c>
      <c r="E930" t="s">
        <v>182</v>
      </c>
      <c r="F930" t="s">
        <v>63</v>
      </c>
      <c r="G930" t="s">
        <v>62</v>
      </c>
      <c r="H930" t="s">
        <v>34</v>
      </c>
      <c r="I930" t="s">
        <v>33</v>
      </c>
      <c r="J930" t="s">
        <v>79</v>
      </c>
      <c r="K930">
        <v>1</v>
      </c>
      <c r="L930" t="s">
        <v>279</v>
      </c>
      <c r="M930">
        <v>0.57999999999999996</v>
      </c>
      <c r="N930" t="s">
        <v>280</v>
      </c>
      <c r="O930" t="s">
        <v>279</v>
      </c>
      <c r="P930">
        <v>102722</v>
      </c>
      <c r="Q930">
        <v>6.8</v>
      </c>
      <c r="R930">
        <v>0.17</v>
      </c>
      <c r="S930" t="b">
        <v>1</v>
      </c>
      <c r="T930">
        <v>2</v>
      </c>
      <c r="U930">
        <v>12</v>
      </c>
      <c r="V930" t="s">
        <v>0</v>
      </c>
    </row>
    <row r="931" spans="1:22" x14ac:dyDescent="0.25">
      <c r="A931" t="s">
        <v>278</v>
      </c>
      <c r="B931">
        <v>2025</v>
      </c>
      <c r="C931" t="s">
        <v>171</v>
      </c>
      <c r="D931" t="s">
        <v>57</v>
      </c>
      <c r="E931" t="s">
        <v>42</v>
      </c>
      <c r="F931" t="s">
        <v>63</v>
      </c>
      <c r="G931" t="s">
        <v>16</v>
      </c>
      <c r="H931" t="s">
        <v>15</v>
      </c>
      <c r="I931" t="s">
        <v>3</v>
      </c>
      <c r="J931" t="s">
        <v>23</v>
      </c>
      <c r="K931">
        <v>1</v>
      </c>
      <c r="L931" t="s">
        <v>276</v>
      </c>
      <c r="M931">
        <v>0.88</v>
      </c>
      <c r="N931" t="s">
        <v>277</v>
      </c>
      <c r="O931" t="s">
        <v>276</v>
      </c>
      <c r="P931">
        <v>131344</v>
      </c>
      <c r="Q931">
        <v>5.38</v>
      </c>
      <c r="R931">
        <v>0.28999999999999998</v>
      </c>
      <c r="S931" t="b">
        <v>1</v>
      </c>
      <c r="T931">
        <v>1</v>
      </c>
      <c r="U931">
        <v>3</v>
      </c>
      <c r="V931" t="s">
        <v>0</v>
      </c>
    </row>
    <row r="932" spans="1:22" x14ac:dyDescent="0.25">
      <c r="A932" t="s">
        <v>275</v>
      </c>
      <c r="B932">
        <v>2025</v>
      </c>
      <c r="C932" t="s">
        <v>157</v>
      </c>
      <c r="D932" t="s">
        <v>18</v>
      </c>
      <c r="E932" t="s">
        <v>121</v>
      </c>
      <c r="F932" t="s">
        <v>115</v>
      </c>
      <c r="G932" t="s">
        <v>135</v>
      </c>
      <c r="H932" t="s">
        <v>102</v>
      </c>
      <c r="I932" t="s">
        <v>40</v>
      </c>
      <c r="J932" t="s">
        <v>73</v>
      </c>
      <c r="K932">
        <v>1</v>
      </c>
      <c r="L932" t="s">
        <v>273</v>
      </c>
      <c r="M932">
        <v>0.45</v>
      </c>
      <c r="N932" t="s">
        <v>274</v>
      </c>
      <c r="O932" t="s">
        <v>273</v>
      </c>
      <c r="P932">
        <v>125397</v>
      </c>
      <c r="Q932">
        <v>5.2</v>
      </c>
      <c r="R932">
        <v>0.14000000000000001</v>
      </c>
      <c r="S932" t="b">
        <v>1</v>
      </c>
      <c r="T932">
        <v>3</v>
      </c>
      <c r="U932">
        <v>17</v>
      </c>
      <c r="V932" t="s">
        <v>46</v>
      </c>
    </row>
    <row r="933" spans="1:22" x14ac:dyDescent="0.25">
      <c r="A933" t="s">
        <v>272</v>
      </c>
      <c r="B933">
        <v>2025</v>
      </c>
      <c r="C933" t="s">
        <v>19</v>
      </c>
      <c r="D933" t="s">
        <v>18</v>
      </c>
      <c r="E933" t="s">
        <v>147</v>
      </c>
      <c r="F933" t="s">
        <v>156</v>
      </c>
      <c r="G933" t="s">
        <v>16</v>
      </c>
      <c r="H933" t="s">
        <v>141</v>
      </c>
      <c r="I933" t="s">
        <v>33</v>
      </c>
      <c r="J933" t="s">
        <v>79</v>
      </c>
      <c r="K933">
        <v>0</v>
      </c>
      <c r="M933">
        <v>0.05</v>
      </c>
      <c r="N933" t="s">
        <v>271</v>
      </c>
      <c r="P933">
        <v>84161</v>
      </c>
      <c r="Q933">
        <v>-2.13</v>
      </c>
      <c r="R933">
        <v>0.67</v>
      </c>
      <c r="S933" t="b">
        <v>0</v>
      </c>
      <c r="T933">
        <v>1</v>
      </c>
      <c r="U933">
        <v>9</v>
      </c>
      <c r="V933" t="s">
        <v>0</v>
      </c>
    </row>
    <row r="934" spans="1:22" x14ac:dyDescent="0.25">
      <c r="A934" t="s">
        <v>270</v>
      </c>
      <c r="B934">
        <v>2025</v>
      </c>
      <c r="C934" t="s">
        <v>171</v>
      </c>
      <c r="D934" t="s">
        <v>57</v>
      </c>
      <c r="E934" t="s">
        <v>86</v>
      </c>
      <c r="F934" t="s">
        <v>75</v>
      </c>
      <c r="G934" t="s">
        <v>16</v>
      </c>
      <c r="H934" t="s">
        <v>85</v>
      </c>
      <c r="I934" t="s">
        <v>107</v>
      </c>
      <c r="J934" t="s">
        <v>79</v>
      </c>
      <c r="K934">
        <v>0</v>
      </c>
      <c r="M934">
        <v>0.04</v>
      </c>
      <c r="N934" t="s">
        <v>269</v>
      </c>
      <c r="P934">
        <v>90205</v>
      </c>
      <c r="Q934">
        <v>2.81</v>
      </c>
      <c r="R934">
        <v>0.86</v>
      </c>
      <c r="S934" t="b">
        <v>0</v>
      </c>
      <c r="T934">
        <v>2</v>
      </c>
      <c r="U934">
        <v>16</v>
      </c>
      <c r="V934" t="s">
        <v>0</v>
      </c>
    </row>
    <row r="935" spans="1:22" x14ac:dyDescent="0.25">
      <c r="A935" t="s">
        <v>268</v>
      </c>
      <c r="B935">
        <v>2025</v>
      </c>
      <c r="C935" t="s">
        <v>267</v>
      </c>
      <c r="D935" t="s">
        <v>43</v>
      </c>
      <c r="E935" t="s">
        <v>50</v>
      </c>
      <c r="F935" t="s">
        <v>41</v>
      </c>
      <c r="G935" t="s">
        <v>62</v>
      </c>
      <c r="H935" t="s">
        <v>102</v>
      </c>
      <c r="I935" t="s">
        <v>74</v>
      </c>
      <c r="J935" t="s">
        <v>23</v>
      </c>
      <c r="K935">
        <v>0</v>
      </c>
      <c r="M935">
        <v>0.13</v>
      </c>
      <c r="N935" t="s">
        <v>266</v>
      </c>
      <c r="P935">
        <v>94459</v>
      </c>
      <c r="Q935">
        <v>-1.81</v>
      </c>
      <c r="R935">
        <v>0.72</v>
      </c>
      <c r="S935" t="b">
        <v>0</v>
      </c>
      <c r="T935">
        <v>2</v>
      </c>
      <c r="U935">
        <v>1</v>
      </c>
      <c r="V935" t="s">
        <v>46</v>
      </c>
    </row>
    <row r="936" spans="1:22" x14ac:dyDescent="0.25">
      <c r="A936" t="s">
        <v>265</v>
      </c>
      <c r="B936">
        <v>2025</v>
      </c>
      <c r="C936" t="s">
        <v>220</v>
      </c>
      <c r="D936" t="s">
        <v>91</v>
      </c>
      <c r="E936" t="s">
        <v>86</v>
      </c>
      <c r="F936" t="s">
        <v>156</v>
      </c>
      <c r="G936" t="s">
        <v>16</v>
      </c>
      <c r="H936" t="s">
        <v>15</v>
      </c>
      <c r="I936" t="s">
        <v>90</v>
      </c>
      <c r="J936" t="s">
        <v>2</v>
      </c>
      <c r="K936">
        <v>0</v>
      </c>
      <c r="M936">
        <v>0.14000000000000001</v>
      </c>
      <c r="N936" t="s">
        <v>264</v>
      </c>
      <c r="P936">
        <v>78190</v>
      </c>
      <c r="Q936">
        <v>-1.8</v>
      </c>
      <c r="R936">
        <v>0.66</v>
      </c>
      <c r="S936" t="b">
        <v>0</v>
      </c>
      <c r="T936">
        <v>1</v>
      </c>
      <c r="U936">
        <v>6</v>
      </c>
      <c r="V936" t="s">
        <v>0</v>
      </c>
    </row>
    <row r="937" spans="1:22" x14ac:dyDescent="0.25">
      <c r="A937" t="s">
        <v>263</v>
      </c>
      <c r="B937">
        <v>2025</v>
      </c>
      <c r="C937" t="s">
        <v>70</v>
      </c>
      <c r="D937" t="s">
        <v>18</v>
      </c>
      <c r="E937" t="s">
        <v>182</v>
      </c>
      <c r="F937" t="s">
        <v>156</v>
      </c>
      <c r="G937" t="s">
        <v>16</v>
      </c>
      <c r="H937" t="s">
        <v>4</v>
      </c>
      <c r="I937" t="s">
        <v>90</v>
      </c>
      <c r="J937" t="s">
        <v>13</v>
      </c>
      <c r="K937">
        <v>1</v>
      </c>
      <c r="L937" t="s">
        <v>261</v>
      </c>
      <c r="M937">
        <v>0.55000000000000004</v>
      </c>
      <c r="N937" t="s">
        <v>262</v>
      </c>
      <c r="O937" t="s">
        <v>261</v>
      </c>
      <c r="P937">
        <v>112909</v>
      </c>
      <c r="Q937">
        <v>7.19</v>
      </c>
      <c r="R937">
        <v>0.24</v>
      </c>
      <c r="S937" t="b">
        <v>1</v>
      </c>
      <c r="T937">
        <v>2</v>
      </c>
      <c r="U937">
        <v>17</v>
      </c>
      <c r="V937" t="s">
        <v>0</v>
      </c>
    </row>
    <row r="938" spans="1:22" x14ac:dyDescent="0.25">
      <c r="A938" t="s">
        <v>260</v>
      </c>
      <c r="B938">
        <v>2025</v>
      </c>
      <c r="C938" t="s">
        <v>245</v>
      </c>
      <c r="D938" t="s">
        <v>125</v>
      </c>
      <c r="E938" t="s">
        <v>86</v>
      </c>
      <c r="F938" t="s">
        <v>156</v>
      </c>
      <c r="G938" t="s">
        <v>135</v>
      </c>
      <c r="H938" t="s">
        <v>102</v>
      </c>
      <c r="I938" t="s">
        <v>90</v>
      </c>
      <c r="J938" t="s">
        <v>13</v>
      </c>
      <c r="K938">
        <v>1</v>
      </c>
      <c r="L938" t="s">
        <v>150</v>
      </c>
      <c r="M938">
        <v>0.91</v>
      </c>
      <c r="N938" t="s">
        <v>259</v>
      </c>
      <c r="O938" t="s">
        <v>150</v>
      </c>
      <c r="P938">
        <v>40895</v>
      </c>
      <c r="Q938">
        <v>11.76</v>
      </c>
      <c r="R938">
        <v>0.31</v>
      </c>
      <c r="S938" t="b">
        <v>1</v>
      </c>
      <c r="T938">
        <v>3</v>
      </c>
      <c r="U938">
        <v>4</v>
      </c>
      <c r="V938" t="s">
        <v>46</v>
      </c>
    </row>
    <row r="939" spans="1:22" x14ac:dyDescent="0.25">
      <c r="A939" t="s">
        <v>258</v>
      </c>
      <c r="B939">
        <v>2025</v>
      </c>
      <c r="C939" t="s">
        <v>233</v>
      </c>
      <c r="D939" t="s">
        <v>125</v>
      </c>
      <c r="E939" t="s">
        <v>121</v>
      </c>
      <c r="F939" t="s">
        <v>75</v>
      </c>
      <c r="G939" t="s">
        <v>62</v>
      </c>
      <c r="H939" t="s">
        <v>102</v>
      </c>
      <c r="I939" t="s">
        <v>24</v>
      </c>
      <c r="J939" t="s">
        <v>2</v>
      </c>
      <c r="K939">
        <v>0</v>
      </c>
      <c r="M939">
        <v>0.04</v>
      </c>
      <c r="N939" t="s">
        <v>257</v>
      </c>
      <c r="P939">
        <v>23206</v>
      </c>
      <c r="Q939">
        <v>2.17</v>
      </c>
      <c r="R939">
        <v>0.88</v>
      </c>
      <c r="S939" t="b">
        <v>0</v>
      </c>
      <c r="T939">
        <v>2</v>
      </c>
      <c r="U939">
        <v>12</v>
      </c>
      <c r="V939" t="s">
        <v>46</v>
      </c>
    </row>
    <row r="940" spans="1:22" x14ac:dyDescent="0.25">
      <c r="A940" t="s">
        <v>256</v>
      </c>
      <c r="B940">
        <v>2025</v>
      </c>
      <c r="C940" t="s">
        <v>70</v>
      </c>
      <c r="D940" t="s">
        <v>18</v>
      </c>
      <c r="E940" t="s">
        <v>17</v>
      </c>
      <c r="F940" t="s">
        <v>41</v>
      </c>
      <c r="G940" t="s">
        <v>16</v>
      </c>
      <c r="H940" t="s">
        <v>85</v>
      </c>
      <c r="I940" t="s">
        <v>40</v>
      </c>
      <c r="J940" t="s">
        <v>73</v>
      </c>
      <c r="K940">
        <v>0</v>
      </c>
      <c r="M940">
        <v>0.08</v>
      </c>
      <c r="N940" t="s">
        <v>255</v>
      </c>
      <c r="P940">
        <v>76664</v>
      </c>
      <c r="Q940">
        <v>-1.19</v>
      </c>
      <c r="R940">
        <v>0.66</v>
      </c>
      <c r="S940" t="b">
        <v>0</v>
      </c>
      <c r="T940">
        <v>3</v>
      </c>
      <c r="U940">
        <v>3</v>
      </c>
      <c r="V940" t="s">
        <v>0</v>
      </c>
    </row>
    <row r="941" spans="1:22" x14ac:dyDescent="0.25">
      <c r="A941" t="s">
        <v>254</v>
      </c>
      <c r="B941">
        <v>2025</v>
      </c>
      <c r="C941" t="s">
        <v>167</v>
      </c>
      <c r="D941" t="s">
        <v>43</v>
      </c>
      <c r="E941" t="s">
        <v>86</v>
      </c>
      <c r="F941" t="s">
        <v>115</v>
      </c>
      <c r="G941" t="s">
        <v>135</v>
      </c>
      <c r="H941" t="s">
        <v>49</v>
      </c>
      <c r="I941" t="s">
        <v>24</v>
      </c>
      <c r="J941" t="s">
        <v>96</v>
      </c>
      <c r="K941">
        <v>1</v>
      </c>
      <c r="L941" t="s">
        <v>252</v>
      </c>
      <c r="M941">
        <v>0.4</v>
      </c>
      <c r="N941" t="s">
        <v>253</v>
      </c>
      <c r="O941" t="s">
        <v>252</v>
      </c>
      <c r="P941">
        <v>123034</v>
      </c>
      <c r="Q941">
        <v>14.5</v>
      </c>
      <c r="R941">
        <v>0.39</v>
      </c>
      <c r="S941" t="b">
        <v>1</v>
      </c>
      <c r="T941">
        <v>1</v>
      </c>
      <c r="U941">
        <v>12</v>
      </c>
      <c r="V941" t="s">
        <v>46</v>
      </c>
    </row>
    <row r="942" spans="1:22" x14ac:dyDescent="0.25">
      <c r="A942" t="s">
        <v>251</v>
      </c>
      <c r="B942">
        <v>2025</v>
      </c>
      <c r="C942" t="s">
        <v>171</v>
      </c>
      <c r="D942" t="s">
        <v>57</v>
      </c>
      <c r="E942" t="s">
        <v>7</v>
      </c>
      <c r="F942" t="s">
        <v>41</v>
      </c>
      <c r="G942" t="s">
        <v>135</v>
      </c>
      <c r="H942" t="s">
        <v>141</v>
      </c>
      <c r="I942" t="s">
        <v>97</v>
      </c>
      <c r="J942" t="s">
        <v>23</v>
      </c>
      <c r="K942">
        <v>0</v>
      </c>
      <c r="M942">
        <v>0.03</v>
      </c>
      <c r="N942" t="s">
        <v>250</v>
      </c>
      <c r="P942">
        <v>103163</v>
      </c>
      <c r="Q942">
        <v>-3.96</v>
      </c>
      <c r="R942">
        <v>0.8</v>
      </c>
      <c r="S942" t="b">
        <v>0</v>
      </c>
      <c r="T942">
        <v>2</v>
      </c>
      <c r="U942">
        <v>4</v>
      </c>
      <c r="V942" t="s">
        <v>0</v>
      </c>
    </row>
    <row r="943" spans="1:22" x14ac:dyDescent="0.25">
      <c r="A943" t="s">
        <v>249</v>
      </c>
      <c r="B943">
        <v>2025</v>
      </c>
      <c r="C943" t="s">
        <v>117</v>
      </c>
      <c r="D943" t="s">
        <v>91</v>
      </c>
      <c r="E943" t="s">
        <v>86</v>
      </c>
      <c r="F943" t="s">
        <v>156</v>
      </c>
      <c r="G943" t="s">
        <v>16</v>
      </c>
      <c r="H943" t="s">
        <v>141</v>
      </c>
      <c r="I943" t="s">
        <v>97</v>
      </c>
      <c r="J943" t="s">
        <v>73</v>
      </c>
      <c r="K943">
        <v>1</v>
      </c>
      <c r="L943" t="s">
        <v>247</v>
      </c>
      <c r="M943">
        <v>0.74</v>
      </c>
      <c r="N943" t="s">
        <v>248</v>
      </c>
      <c r="O943" t="s">
        <v>247</v>
      </c>
      <c r="P943">
        <v>105188</v>
      </c>
      <c r="Q943">
        <v>17.47</v>
      </c>
      <c r="R943">
        <v>0.3</v>
      </c>
      <c r="S943" t="b">
        <v>1</v>
      </c>
      <c r="T943">
        <v>2</v>
      </c>
      <c r="U943">
        <v>15</v>
      </c>
      <c r="V943" t="s">
        <v>0</v>
      </c>
    </row>
    <row r="944" spans="1:22" x14ac:dyDescent="0.25">
      <c r="A944" t="s">
        <v>246</v>
      </c>
      <c r="B944">
        <v>2025</v>
      </c>
      <c r="C944" t="s">
        <v>245</v>
      </c>
      <c r="D944" t="s">
        <v>125</v>
      </c>
      <c r="E944" t="s">
        <v>147</v>
      </c>
      <c r="F944" t="s">
        <v>108</v>
      </c>
      <c r="G944" t="s">
        <v>62</v>
      </c>
      <c r="H944" t="s">
        <v>4</v>
      </c>
      <c r="I944" t="s">
        <v>74</v>
      </c>
      <c r="J944" t="s">
        <v>13</v>
      </c>
      <c r="K944">
        <v>1</v>
      </c>
      <c r="L944" t="s">
        <v>243</v>
      </c>
      <c r="M944">
        <v>0.83</v>
      </c>
      <c r="N944" t="s">
        <v>244</v>
      </c>
      <c r="O944" t="s">
        <v>243</v>
      </c>
      <c r="P944">
        <v>35423</v>
      </c>
      <c r="Q944">
        <v>6.79</v>
      </c>
      <c r="R944">
        <v>0.36</v>
      </c>
      <c r="S944" t="b">
        <v>1</v>
      </c>
      <c r="T944">
        <v>3</v>
      </c>
      <c r="U944">
        <v>19</v>
      </c>
      <c r="V944" t="s">
        <v>0</v>
      </c>
    </row>
    <row r="945" spans="1:22" x14ac:dyDescent="0.25">
      <c r="A945" t="s">
        <v>242</v>
      </c>
      <c r="B945">
        <v>2025</v>
      </c>
      <c r="C945" t="s">
        <v>98</v>
      </c>
      <c r="D945" t="s">
        <v>43</v>
      </c>
      <c r="E945" t="s">
        <v>121</v>
      </c>
      <c r="F945" t="s">
        <v>26</v>
      </c>
      <c r="G945" t="s">
        <v>62</v>
      </c>
      <c r="H945" t="s">
        <v>85</v>
      </c>
      <c r="I945" t="s">
        <v>107</v>
      </c>
      <c r="J945" t="s">
        <v>73</v>
      </c>
      <c r="K945">
        <v>1</v>
      </c>
      <c r="L945" t="s">
        <v>240</v>
      </c>
      <c r="M945">
        <v>0.45</v>
      </c>
      <c r="N945" t="s">
        <v>241</v>
      </c>
      <c r="O945" t="s">
        <v>240</v>
      </c>
      <c r="P945">
        <v>109498</v>
      </c>
      <c r="Q945">
        <v>7.8</v>
      </c>
      <c r="R945">
        <v>0.18</v>
      </c>
      <c r="S945" t="b">
        <v>1</v>
      </c>
      <c r="T945">
        <v>2</v>
      </c>
      <c r="U945">
        <v>3</v>
      </c>
      <c r="V945" t="s">
        <v>0</v>
      </c>
    </row>
    <row r="946" spans="1:22" x14ac:dyDescent="0.25">
      <c r="A946" t="s">
        <v>239</v>
      </c>
      <c r="B946">
        <v>2025</v>
      </c>
      <c r="C946" t="s">
        <v>104</v>
      </c>
      <c r="D946" t="s">
        <v>8</v>
      </c>
      <c r="E946" t="s">
        <v>7</v>
      </c>
      <c r="F946" t="s">
        <v>112</v>
      </c>
      <c r="G946" t="s">
        <v>25</v>
      </c>
      <c r="H946" t="s">
        <v>15</v>
      </c>
      <c r="I946" t="s">
        <v>14</v>
      </c>
      <c r="J946" t="s">
        <v>96</v>
      </c>
      <c r="K946">
        <v>0</v>
      </c>
      <c r="M946">
        <v>0.11</v>
      </c>
      <c r="N946" t="s">
        <v>238</v>
      </c>
      <c r="P946">
        <v>25825</v>
      </c>
      <c r="Q946">
        <v>4.4800000000000004</v>
      </c>
      <c r="R946">
        <v>0.76</v>
      </c>
      <c r="S946" t="b">
        <v>0</v>
      </c>
      <c r="T946">
        <v>2</v>
      </c>
      <c r="U946">
        <v>9</v>
      </c>
      <c r="V946" t="s">
        <v>0</v>
      </c>
    </row>
    <row r="947" spans="1:22" x14ac:dyDescent="0.25">
      <c r="A947" t="s">
        <v>237</v>
      </c>
      <c r="B947">
        <v>2025</v>
      </c>
      <c r="C947" t="s">
        <v>236</v>
      </c>
      <c r="D947" t="s">
        <v>131</v>
      </c>
      <c r="E947" t="s">
        <v>182</v>
      </c>
      <c r="F947" t="s">
        <v>55</v>
      </c>
      <c r="G947" t="s">
        <v>62</v>
      </c>
      <c r="H947" t="s">
        <v>34</v>
      </c>
      <c r="I947" t="s">
        <v>33</v>
      </c>
      <c r="J947" t="s">
        <v>2</v>
      </c>
      <c r="K947">
        <v>1</v>
      </c>
      <c r="L947" t="s">
        <v>150</v>
      </c>
      <c r="M947">
        <v>0.5</v>
      </c>
      <c r="N947" t="s">
        <v>235</v>
      </c>
      <c r="O947" t="s">
        <v>150</v>
      </c>
      <c r="P947">
        <v>53633</v>
      </c>
      <c r="Q947">
        <v>8.5</v>
      </c>
      <c r="R947">
        <v>0.31</v>
      </c>
      <c r="S947" t="b">
        <v>1</v>
      </c>
      <c r="T947">
        <v>2</v>
      </c>
      <c r="U947">
        <v>9</v>
      </c>
      <c r="V947" t="s">
        <v>0</v>
      </c>
    </row>
    <row r="948" spans="1:22" x14ac:dyDescent="0.25">
      <c r="A948" t="s">
        <v>234</v>
      </c>
      <c r="B948">
        <v>2025</v>
      </c>
      <c r="C948" t="s">
        <v>233</v>
      </c>
      <c r="D948" t="s">
        <v>125</v>
      </c>
      <c r="E948" t="s">
        <v>130</v>
      </c>
      <c r="F948" t="s">
        <v>156</v>
      </c>
      <c r="G948" t="s">
        <v>16</v>
      </c>
      <c r="H948" t="s">
        <v>34</v>
      </c>
      <c r="I948" t="s">
        <v>40</v>
      </c>
      <c r="J948" t="s">
        <v>96</v>
      </c>
      <c r="K948">
        <v>1</v>
      </c>
      <c r="L948" t="s">
        <v>231</v>
      </c>
      <c r="M948">
        <v>0.54</v>
      </c>
      <c r="N948" t="s">
        <v>232</v>
      </c>
      <c r="O948" t="s">
        <v>231</v>
      </c>
      <c r="P948">
        <v>35074</v>
      </c>
      <c r="Q948">
        <v>12.88</v>
      </c>
      <c r="R948">
        <v>0.12</v>
      </c>
      <c r="S948" t="b">
        <v>1</v>
      </c>
      <c r="T948">
        <v>2</v>
      </c>
      <c r="U948">
        <v>1</v>
      </c>
      <c r="V948" t="s">
        <v>0</v>
      </c>
    </row>
    <row r="949" spans="1:22" x14ac:dyDescent="0.25">
      <c r="A949" t="s">
        <v>230</v>
      </c>
      <c r="B949">
        <v>2025</v>
      </c>
      <c r="C949" t="s">
        <v>65</v>
      </c>
      <c r="D949" t="s">
        <v>64</v>
      </c>
      <c r="E949" t="s">
        <v>219</v>
      </c>
      <c r="F949" t="s">
        <v>112</v>
      </c>
      <c r="G949" t="s">
        <v>25</v>
      </c>
      <c r="H949" t="s">
        <v>15</v>
      </c>
      <c r="I949" t="s">
        <v>33</v>
      </c>
      <c r="J949" t="s">
        <v>23</v>
      </c>
      <c r="K949">
        <v>0</v>
      </c>
      <c r="M949">
        <v>0.12</v>
      </c>
      <c r="N949" t="s">
        <v>229</v>
      </c>
      <c r="P949">
        <v>101301</v>
      </c>
      <c r="Q949">
        <v>-2.83</v>
      </c>
      <c r="R949">
        <v>0.8</v>
      </c>
      <c r="S949" t="b">
        <v>0</v>
      </c>
      <c r="T949">
        <v>3</v>
      </c>
      <c r="U949">
        <v>17</v>
      </c>
      <c r="V949" t="s">
        <v>0</v>
      </c>
    </row>
    <row r="950" spans="1:22" x14ac:dyDescent="0.25">
      <c r="A950" t="s">
        <v>228</v>
      </c>
      <c r="B950">
        <v>2025</v>
      </c>
      <c r="C950" t="s">
        <v>65</v>
      </c>
      <c r="D950" t="s">
        <v>64</v>
      </c>
      <c r="E950" t="s">
        <v>50</v>
      </c>
      <c r="F950" t="s">
        <v>108</v>
      </c>
      <c r="G950" t="s">
        <v>135</v>
      </c>
      <c r="H950" t="s">
        <v>49</v>
      </c>
      <c r="I950" t="s">
        <v>107</v>
      </c>
      <c r="J950" t="s">
        <v>2</v>
      </c>
      <c r="K950">
        <v>1</v>
      </c>
      <c r="L950" t="s">
        <v>226</v>
      </c>
      <c r="M950">
        <v>0.55000000000000004</v>
      </c>
      <c r="N950" t="s">
        <v>227</v>
      </c>
      <c r="O950" t="s">
        <v>226</v>
      </c>
      <c r="P950">
        <v>157355</v>
      </c>
      <c r="Q950">
        <v>5.18</v>
      </c>
      <c r="R950">
        <v>0.13</v>
      </c>
      <c r="S950" t="b">
        <v>1</v>
      </c>
      <c r="T950">
        <v>1</v>
      </c>
      <c r="U950">
        <v>10</v>
      </c>
      <c r="V950" t="s">
        <v>46</v>
      </c>
    </row>
    <row r="951" spans="1:22" x14ac:dyDescent="0.25">
      <c r="A951" t="s">
        <v>225</v>
      </c>
      <c r="B951">
        <v>2025</v>
      </c>
      <c r="C951" t="s">
        <v>51</v>
      </c>
      <c r="D951" t="s">
        <v>18</v>
      </c>
      <c r="E951" t="s">
        <v>7</v>
      </c>
      <c r="F951" t="s">
        <v>124</v>
      </c>
      <c r="G951" t="s">
        <v>5</v>
      </c>
      <c r="H951" t="s">
        <v>15</v>
      </c>
      <c r="I951" t="s">
        <v>3</v>
      </c>
      <c r="J951" t="s">
        <v>79</v>
      </c>
      <c r="K951">
        <v>1</v>
      </c>
      <c r="L951" t="s">
        <v>169</v>
      </c>
      <c r="M951">
        <v>0.4</v>
      </c>
      <c r="N951" t="s">
        <v>224</v>
      </c>
      <c r="O951" t="s">
        <v>169</v>
      </c>
      <c r="P951">
        <v>126861</v>
      </c>
      <c r="Q951">
        <v>15.63</v>
      </c>
      <c r="R951">
        <v>0.24</v>
      </c>
      <c r="S951" t="b">
        <v>1</v>
      </c>
      <c r="T951">
        <v>1</v>
      </c>
      <c r="U951">
        <v>14</v>
      </c>
      <c r="V951" t="s">
        <v>0</v>
      </c>
    </row>
    <row r="952" spans="1:22" x14ac:dyDescent="0.25">
      <c r="A952" t="s">
        <v>223</v>
      </c>
      <c r="B952">
        <v>2025</v>
      </c>
      <c r="C952" t="s">
        <v>9</v>
      </c>
      <c r="D952" t="s">
        <v>8</v>
      </c>
      <c r="E952" t="s">
        <v>219</v>
      </c>
      <c r="F952" t="s">
        <v>75</v>
      </c>
      <c r="G952" t="s">
        <v>25</v>
      </c>
      <c r="H952" t="s">
        <v>141</v>
      </c>
      <c r="I952" t="s">
        <v>68</v>
      </c>
      <c r="J952" t="s">
        <v>79</v>
      </c>
      <c r="K952">
        <v>0</v>
      </c>
      <c r="M952">
        <v>0.09</v>
      </c>
      <c r="N952" t="s">
        <v>222</v>
      </c>
      <c r="P952">
        <v>29277</v>
      </c>
      <c r="Q952">
        <v>3.25</v>
      </c>
      <c r="R952">
        <v>0.87</v>
      </c>
      <c r="S952" t="b">
        <v>0</v>
      </c>
      <c r="T952">
        <v>2</v>
      </c>
      <c r="U952">
        <v>2</v>
      </c>
      <c r="V952" t="s">
        <v>0</v>
      </c>
    </row>
    <row r="953" spans="1:22" x14ac:dyDescent="0.25">
      <c r="A953" t="s">
        <v>221</v>
      </c>
      <c r="B953">
        <v>2025</v>
      </c>
      <c r="C953" t="s">
        <v>220</v>
      </c>
      <c r="D953" t="s">
        <v>91</v>
      </c>
      <c r="E953" t="s">
        <v>219</v>
      </c>
      <c r="F953" t="s">
        <v>136</v>
      </c>
      <c r="G953" t="s">
        <v>62</v>
      </c>
      <c r="H953" t="s">
        <v>49</v>
      </c>
      <c r="I953" t="s">
        <v>40</v>
      </c>
      <c r="J953" t="s">
        <v>96</v>
      </c>
      <c r="K953">
        <v>1</v>
      </c>
      <c r="L953" t="s">
        <v>217</v>
      </c>
      <c r="M953">
        <v>0.67</v>
      </c>
      <c r="N953" t="s">
        <v>218</v>
      </c>
      <c r="O953" t="s">
        <v>217</v>
      </c>
      <c r="P953">
        <v>115830</v>
      </c>
      <c r="Q953">
        <v>12.79</v>
      </c>
      <c r="R953">
        <v>0.21</v>
      </c>
      <c r="S953" t="b">
        <v>1</v>
      </c>
      <c r="T953">
        <v>2</v>
      </c>
      <c r="U953">
        <v>5</v>
      </c>
      <c r="V953" t="s">
        <v>46</v>
      </c>
    </row>
    <row r="954" spans="1:22" x14ac:dyDescent="0.25">
      <c r="A954" t="s">
        <v>216</v>
      </c>
      <c r="B954">
        <v>2025</v>
      </c>
      <c r="C954" t="s">
        <v>215</v>
      </c>
      <c r="D954" t="s">
        <v>91</v>
      </c>
      <c r="E954" t="s">
        <v>121</v>
      </c>
      <c r="F954" t="s">
        <v>112</v>
      </c>
      <c r="G954" t="s">
        <v>62</v>
      </c>
      <c r="H954" t="s">
        <v>141</v>
      </c>
      <c r="I954" t="s">
        <v>40</v>
      </c>
      <c r="J954" t="s">
        <v>13</v>
      </c>
      <c r="K954">
        <v>1</v>
      </c>
      <c r="L954" t="s">
        <v>150</v>
      </c>
      <c r="M954">
        <v>0.94</v>
      </c>
      <c r="N954" t="s">
        <v>214</v>
      </c>
      <c r="O954" t="s">
        <v>150</v>
      </c>
      <c r="P954">
        <v>113074</v>
      </c>
      <c r="Q954">
        <v>6.55</v>
      </c>
      <c r="R954">
        <v>0.24</v>
      </c>
      <c r="S954" t="b">
        <v>1</v>
      </c>
      <c r="T954">
        <v>3</v>
      </c>
      <c r="U954">
        <v>5</v>
      </c>
      <c r="V954" t="s">
        <v>0</v>
      </c>
    </row>
    <row r="955" spans="1:22" x14ac:dyDescent="0.25">
      <c r="A955" t="s">
        <v>213</v>
      </c>
      <c r="B955">
        <v>2025</v>
      </c>
      <c r="C955" t="s">
        <v>117</v>
      </c>
      <c r="D955" t="s">
        <v>91</v>
      </c>
      <c r="E955" t="s">
        <v>121</v>
      </c>
      <c r="F955" t="s">
        <v>124</v>
      </c>
      <c r="G955" t="s">
        <v>5</v>
      </c>
      <c r="H955" t="s">
        <v>179</v>
      </c>
      <c r="I955" t="s">
        <v>97</v>
      </c>
      <c r="J955" t="s">
        <v>73</v>
      </c>
      <c r="K955">
        <v>1</v>
      </c>
      <c r="L955" t="s">
        <v>211</v>
      </c>
      <c r="M955">
        <v>0.46</v>
      </c>
      <c r="N955" t="s">
        <v>212</v>
      </c>
      <c r="O955" t="s">
        <v>211</v>
      </c>
      <c r="P955">
        <v>87619</v>
      </c>
      <c r="Q955">
        <v>6.66</v>
      </c>
      <c r="R955">
        <v>0.36</v>
      </c>
      <c r="S955" t="b">
        <v>1</v>
      </c>
      <c r="T955">
        <v>2</v>
      </c>
      <c r="U955">
        <v>15</v>
      </c>
      <c r="V955" t="s">
        <v>0</v>
      </c>
    </row>
    <row r="956" spans="1:22" x14ac:dyDescent="0.25">
      <c r="A956" t="s">
        <v>210</v>
      </c>
      <c r="B956">
        <v>2025</v>
      </c>
      <c r="C956" t="s">
        <v>176</v>
      </c>
      <c r="D956" t="s">
        <v>64</v>
      </c>
      <c r="E956" t="s">
        <v>50</v>
      </c>
      <c r="F956" t="s">
        <v>112</v>
      </c>
      <c r="G956" t="s">
        <v>135</v>
      </c>
      <c r="H956" t="s">
        <v>4</v>
      </c>
      <c r="I956" t="s">
        <v>40</v>
      </c>
      <c r="J956" t="s">
        <v>13</v>
      </c>
      <c r="K956">
        <v>1</v>
      </c>
      <c r="L956" t="s">
        <v>208</v>
      </c>
      <c r="M956">
        <v>0.82</v>
      </c>
      <c r="N956" t="s">
        <v>209</v>
      </c>
      <c r="O956" t="s">
        <v>208</v>
      </c>
      <c r="P956">
        <v>127101</v>
      </c>
      <c r="Q956">
        <v>10.48</v>
      </c>
      <c r="R956">
        <v>0.13</v>
      </c>
      <c r="S956" t="b">
        <v>1</v>
      </c>
      <c r="T956">
        <v>1</v>
      </c>
      <c r="U956">
        <v>10</v>
      </c>
      <c r="V956" t="s">
        <v>0</v>
      </c>
    </row>
    <row r="957" spans="1:22" x14ac:dyDescent="0.25">
      <c r="A957" t="s">
        <v>207</v>
      </c>
      <c r="B957">
        <v>2025</v>
      </c>
      <c r="C957" t="s">
        <v>86</v>
      </c>
      <c r="D957" t="s">
        <v>131</v>
      </c>
      <c r="E957" t="s">
        <v>130</v>
      </c>
      <c r="F957" t="s">
        <v>6</v>
      </c>
      <c r="G957" t="s">
        <v>5</v>
      </c>
      <c r="H957" t="s">
        <v>179</v>
      </c>
      <c r="I957" t="s">
        <v>90</v>
      </c>
      <c r="J957" t="s">
        <v>96</v>
      </c>
      <c r="K957">
        <v>0</v>
      </c>
      <c r="M957">
        <v>0</v>
      </c>
      <c r="N957" t="s">
        <v>206</v>
      </c>
      <c r="P957">
        <v>40733</v>
      </c>
      <c r="Q957">
        <v>-3.08</v>
      </c>
      <c r="R957">
        <v>0.7</v>
      </c>
      <c r="S957" t="b">
        <v>0</v>
      </c>
      <c r="T957">
        <v>2</v>
      </c>
      <c r="U957">
        <v>5</v>
      </c>
      <c r="V957" t="s">
        <v>0</v>
      </c>
    </row>
    <row r="958" spans="1:22" x14ac:dyDescent="0.25">
      <c r="A958" t="s">
        <v>205</v>
      </c>
      <c r="B958">
        <v>2025</v>
      </c>
      <c r="C958" t="s">
        <v>176</v>
      </c>
      <c r="D958" t="s">
        <v>64</v>
      </c>
      <c r="E958" t="s">
        <v>50</v>
      </c>
      <c r="F958" t="s">
        <v>103</v>
      </c>
      <c r="G958" t="s">
        <v>62</v>
      </c>
      <c r="H958" t="s">
        <v>179</v>
      </c>
      <c r="I958" t="s">
        <v>74</v>
      </c>
      <c r="J958" t="s">
        <v>79</v>
      </c>
      <c r="K958">
        <v>1</v>
      </c>
      <c r="L958" t="s">
        <v>201</v>
      </c>
      <c r="M958">
        <v>0.6</v>
      </c>
      <c r="N958" t="s">
        <v>204</v>
      </c>
      <c r="O958" t="s">
        <v>201</v>
      </c>
      <c r="P958">
        <v>152964</v>
      </c>
      <c r="Q958">
        <v>9.69</v>
      </c>
      <c r="R958">
        <v>0.3</v>
      </c>
      <c r="S958" t="b">
        <v>1</v>
      </c>
      <c r="T958">
        <v>1</v>
      </c>
      <c r="U958">
        <v>16</v>
      </c>
      <c r="V958" t="s">
        <v>0</v>
      </c>
    </row>
    <row r="959" spans="1:22" x14ac:dyDescent="0.25">
      <c r="A959" t="s">
        <v>203</v>
      </c>
      <c r="B959">
        <v>2025</v>
      </c>
      <c r="C959" t="s">
        <v>164</v>
      </c>
      <c r="D959" t="s">
        <v>8</v>
      </c>
      <c r="E959" t="s">
        <v>42</v>
      </c>
      <c r="F959" t="s">
        <v>41</v>
      </c>
      <c r="G959" t="s">
        <v>5</v>
      </c>
      <c r="H959" t="s">
        <v>15</v>
      </c>
      <c r="I959" t="s">
        <v>90</v>
      </c>
      <c r="J959" t="s">
        <v>2</v>
      </c>
      <c r="K959">
        <v>1</v>
      </c>
      <c r="L959" t="s">
        <v>201</v>
      </c>
      <c r="M959">
        <v>0.76</v>
      </c>
      <c r="N959" t="s">
        <v>202</v>
      </c>
      <c r="O959" t="s">
        <v>201</v>
      </c>
      <c r="P959">
        <v>45702</v>
      </c>
      <c r="Q959">
        <v>9.51</v>
      </c>
      <c r="R959">
        <v>0.35</v>
      </c>
      <c r="S959" t="b">
        <v>1</v>
      </c>
      <c r="T959">
        <v>3</v>
      </c>
      <c r="U959">
        <v>18</v>
      </c>
      <c r="V959" t="s">
        <v>0</v>
      </c>
    </row>
    <row r="960" spans="1:22" x14ac:dyDescent="0.25">
      <c r="A960" t="s">
        <v>200</v>
      </c>
      <c r="B960">
        <v>2025</v>
      </c>
      <c r="C960" t="s">
        <v>9</v>
      </c>
      <c r="D960" t="s">
        <v>8</v>
      </c>
      <c r="E960" t="s">
        <v>7</v>
      </c>
      <c r="F960" t="s">
        <v>55</v>
      </c>
      <c r="G960" t="s">
        <v>16</v>
      </c>
      <c r="H960" t="s">
        <v>15</v>
      </c>
      <c r="I960" t="s">
        <v>3</v>
      </c>
      <c r="J960" t="s">
        <v>13</v>
      </c>
      <c r="K960">
        <v>1</v>
      </c>
      <c r="L960" t="s">
        <v>31</v>
      </c>
      <c r="M960">
        <v>0.66</v>
      </c>
      <c r="N960" t="s">
        <v>199</v>
      </c>
      <c r="O960" t="s">
        <v>31</v>
      </c>
      <c r="P960">
        <v>37909</v>
      </c>
      <c r="Q960">
        <v>7.1</v>
      </c>
      <c r="R960">
        <v>0.35</v>
      </c>
      <c r="S960" t="b">
        <v>1</v>
      </c>
      <c r="T960">
        <v>2</v>
      </c>
      <c r="U960">
        <v>11</v>
      </c>
      <c r="V960" t="s">
        <v>0</v>
      </c>
    </row>
    <row r="961" spans="1:22" x14ac:dyDescent="0.25">
      <c r="A961" t="s">
        <v>198</v>
      </c>
      <c r="B961">
        <v>2025</v>
      </c>
      <c r="C961" t="s">
        <v>183</v>
      </c>
      <c r="D961" t="s">
        <v>131</v>
      </c>
      <c r="E961" t="s">
        <v>50</v>
      </c>
      <c r="F961" t="s">
        <v>112</v>
      </c>
      <c r="G961" t="s">
        <v>135</v>
      </c>
      <c r="H961" t="s">
        <v>85</v>
      </c>
      <c r="I961" t="s">
        <v>74</v>
      </c>
      <c r="J961" t="s">
        <v>13</v>
      </c>
      <c r="K961">
        <v>1</v>
      </c>
      <c r="L961" t="s">
        <v>196</v>
      </c>
      <c r="M961">
        <v>0.8</v>
      </c>
      <c r="N961" t="s">
        <v>197</v>
      </c>
      <c r="O961" t="s">
        <v>196</v>
      </c>
      <c r="P961">
        <v>62282</v>
      </c>
      <c r="Q961">
        <v>13.82</v>
      </c>
      <c r="R961">
        <v>0.4</v>
      </c>
      <c r="S961" t="b">
        <v>1</v>
      </c>
      <c r="T961">
        <v>1</v>
      </c>
      <c r="U961">
        <v>3</v>
      </c>
      <c r="V961" t="s">
        <v>0</v>
      </c>
    </row>
    <row r="962" spans="1:22" x14ac:dyDescent="0.25">
      <c r="A962" t="s">
        <v>195</v>
      </c>
      <c r="B962">
        <v>2025</v>
      </c>
      <c r="C962" t="s">
        <v>65</v>
      </c>
      <c r="D962" t="s">
        <v>64</v>
      </c>
      <c r="E962" t="s">
        <v>147</v>
      </c>
      <c r="F962" t="s">
        <v>112</v>
      </c>
      <c r="G962" t="s">
        <v>62</v>
      </c>
      <c r="H962" t="s">
        <v>102</v>
      </c>
      <c r="I962" t="s">
        <v>68</v>
      </c>
      <c r="J962" t="s">
        <v>13</v>
      </c>
      <c r="K962">
        <v>1</v>
      </c>
      <c r="L962" t="s">
        <v>193</v>
      </c>
      <c r="M962">
        <v>0.4</v>
      </c>
      <c r="N962" t="s">
        <v>194</v>
      </c>
      <c r="O962" t="s">
        <v>193</v>
      </c>
      <c r="P962">
        <v>158734</v>
      </c>
      <c r="Q962">
        <v>7.42</v>
      </c>
      <c r="R962">
        <v>0.21</v>
      </c>
      <c r="S962" t="b">
        <v>1</v>
      </c>
      <c r="T962">
        <v>1</v>
      </c>
      <c r="U962">
        <v>8</v>
      </c>
      <c r="V962" t="s">
        <v>46</v>
      </c>
    </row>
    <row r="963" spans="1:22" x14ac:dyDescent="0.25">
      <c r="A963" t="s">
        <v>192</v>
      </c>
      <c r="B963">
        <v>2025</v>
      </c>
      <c r="C963" t="s">
        <v>157</v>
      </c>
      <c r="D963" t="s">
        <v>18</v>
      </c>
      <c r="E963" t="s">
        <v>50</v>
      </c>
      <c r="F963" t="s">
        <v>156</v>
      </c>
      <c r="G963" t="s">
        <v>25</v>
      </c>
      <c r="H963" t="s">
        <v>49</v>
      </c>
      <c r="I963" t="s">
        <v>90</v>
      </c>
      <c r="J963" t="s">
        <v>2</v>
      </c>
      <c r="K963">
        <v>1</v>
      </c>
      <c r="L963" t="s">
        <v>190</v>
      </c>
      <c r="M963">
        <v>0.47</v>
      </c>
      <c r="N963" t="s">
        <v>191</v>
      </c>
      <c r="O963" t="s">
        <v>190</v>
      </c>
      <c r="P963">
        <v>108343</v>
      </c>
      <c r="Q963">
        <v>8.56</v>
      </c>
      <c r="R963">
        <v>0.16</v>
      </c>
      <c r="S963" t="b">
        <v>1</v>
      </c>
      <c r="T963">
        <v>3</v>
      </c>
      <c r="U963">
        <v>9</v>
      </c>
      <c r="V963" t="s">
        <v>46</v>
      </c>
    </row>
    <row r="964" spans="1:22" x14ac:dyDescent="0.25">
      <c r="A964" t="s">
        <v>189</v>
      </c>
      <c r="B964">
        <v>2025</v>
      </c>
      <c r="C964" t="s">
        <v>137</v>
      </c>
      <c r="D964" t="s">
        <v>43</v>
      </c>
      <c r="E964" t="s">
        <v>42</v>
      </c>
      <c r="F964" t="s">
        <v>124</v>
      </c>
      <c r="G964" t="s">
        <v>62</v>
      </c>
      <c r="H964" t="s">
        <v>179</v>
      </c>
      <c r="I964" t="s">
        <v>68</v>
      </c>
      <c r="J964" t="s">
        <v>96</v>
      </c>
      <c r="K964">
        <v>1</v>
      </c>
      <c r="L964" t="s">
        <v>150</v>
      </c>
      <c r="M964">
        <v>0.78</v>
      </c>
      <c r="N964" t="s">
        <v>188</v>
      </c>
      <c r="O964" t="s">
        <v>150</v>
      </c>
      <c r="P964">
        <v>131682</v>
      </c>
      <c r="Q964">
        <v>6.69</v>
      </c>
      <c r="R964">
        <v>0.21</v>
      </c>
      <c r="S964" t="b">
        <v>1</v>
      </c>
      <c r="T964">
        <v>3</v>
      </c>
      <c r="U964">
        <v>19</v>
      </c>
      <c r="V964" t="s">
        <v>0</v>
      </c>
    </row>
    <row r="965" spans="1:22" x14ac:dyDescent="0.25">
      <c r="A965" t="s">
        <v>187</v>
      </c>
      <c r="B965">
        <v>2025</v>
      </c>
      <c r="C965" t="s">
        <v>164</v>
      </c>
      <c r="D965" t="s">
        <v>8</v>
      </c>
      <c r="E965" t="s">
        <v>27</v>
      </c>
      <c r="F965" t="s">
        <v>63</v>
      </c>
      <c r="G965" t="s">
        <v>16</v>
      </c>
      <c r="H965" t="s">
        <v>4</v>
      </c>
      <c r="I965" t="s">
        <v>68</v>
      </c>
      <c r="J965" t="s">
        <v>13</v>
      </c>
      <c r="K965">
        <v>1</v>
      </c>
      <c r="L965" t="s">
        <v>185</v>
      </c>
      <c r="M965">
        <v>0.56000000000000005</v>
      </c>
      <c r="N965" t="s">
        <v>186</v>
      </c>
      <c r="O965" t="s">
        <v>185</v>
      </c>
      <c r="P965">
        <v>36265</v>
      </c>
      <c r="Q965">
        <v>16.09</v>
      </c>
      <c r="R965">
        <v>0.39</v>
      </c>
      <c r="S965" t="b">
        <v>1</v>
      </c>
      <c r="T965">
        <v>1</v>
      </c>
      <c r="U965">
        <v>13</v>
      </c>
      <c r="V965" t="s">
        <v>0</v>
      </c>
    </row>
    <row r="966" spans="1:22" x14ac:dyDescent="0.25">
      <c r="A966" t="s">
        <v>184</v>
      </c>
      <c r="B966">
        <v>2025</v>
      </c>
      <c r="C966" t="s">
        <v>183</v>
      </c>
      <c r="D966" t="s">
        <v>131</v>
      </c>
      <c r="E966" t="s">
        <v>182</v>
      </c>
      <c r="F966" t="s">
        <v>41</v>
      </c>
      <c r="G966" t="s">
        <v>25</v>
      </c>
      <c r="H966" t="s">
        <v>61</v>
      </c>
      <c r="I966" t="s">
        <v>33</v>
      </c>
      <c r="J966" t="s">
        <v>23</v>
      </c>
      <c r="K966">
        <v>0</v>
      </c>
      <c r="M966">
        <v>0.18</v>
      </c>
      <c r="N966" t="s">
        <v>181</v>
      </c>
      <c r="P966">
        <v>40238</v>
      </c>
      <c r="Q966">
        <v>-3.02</v>
      </c>
      <c r="R966">
        <v>0.85</v>
      </c>
      <c r="S966" t="b">
        <v>0</v>
      </c>
      <c r="T966">
        <v>2</v>
      </c>
      <c r="U966">
        <v>19</v>
      </c>
      <c r="V966" t="s">
        <v>0</v>
      </c>
    </row>
    <row r="967" spans="1:22" x14ac:dyDescent="0.25">
      <c r="A967" t="s">
        <v>180</v>
      </c>
      <c r="B967">
        <v>2025</v>
      </c>
      <c r="C967" t="s">
        <v>92</v>
      </c>
      <c r="D967" t="s">
        <v>91</v>
      </c>
      <c r="E967" t="s">
        <v>7</v>
      </c>
      <c r="F967" t="s">
        <v>156</v>
      </c>
      <c r="G967" t="s">
        <v>62</v>
      </c>
      <c r="H967" t="s">
        <v>179</v>
      </c>
      <c r="I967" t="s">
        <v>90</v>
      </c>
      <c r="J967" t="s">
        <v>73</v>
      </c>
      <c r="K967">
        <v>1</v>
      </c>
      <c r="L967" t="s">
        <v>47</v>
      </c>
      <c r="M967">
        <v>0.63</v>
      </c>
      <c r="N967" t="s">
        <v>178</v>
      </c>
      <c r="O967" t="s">
        <v>47</v>
      </c>
      <c r="P967">
        <v>99211</v>
      </c>
      <c r="Q967">
        <v>5.36</v>
      </c>
      <c r="R967">
        <v>0.24</v>
      </c>
      <c r="S967" t="b">
        <v>1</v>
      </c>
      <c r="T967">
        <v>2</v>
      </c>
      <c r="U967">
        <v>4</v>
      </c>
      <c r="V967" t="s">
        <v>0</v>
      </c>
    </row>
    <row r="968" spans="1:22" x14ac:dyDescent="0.25">
      <c r="A968" t="s">
        <v>177</v>
      </c>
      <c r="B968">
        <v>2025</v>
      </c>
      <c r="C968" t="s">
        <v>176</v>
      </c>
      <c r="D968" t="s">
        <v>64</v>
      </c>
      <c r="E968" t="s">
        <v>27</v>
      </c>
      <c r="F968" t="s">
        <v>26</v>
      </c>
      <c r="G968" t="s">
        <v>25</v>
      </c>
      <c r="H968" t="s">
        <v>49</v>
      </c>
      <c r="I968" t="s">
        <v>74</v>
      </c>
      <c r="J968" t="s">
        <v>73</v>
      </c>
      <c r="K968">
        <v>0</v>
      </c>
      <c r="M968">
        <v>0.14000000000000001</v>
      </c>
      <c r="N968" t="s">
        <v>175</v>
      </c>
      <c r="P968">
        <v>109586</v>
      </c>
      <c r="Q968">
        <v>-4.6500000000000004</v>
      </c>
      <c r="R968">
        <v>0.89</v>
      </c>
      <c r="S968" t="b">
        <v>0</v>
      </c>
      <c r="T968">
        <v>3</v>
      </c>
      <c r="U968">
        <v>7</v>
      </c>
      <c r="V968" t="s">
        <v>46</v>
      </c>
    </row>
    <row r="969" spans="1:22" x14ac:dyDescent="0.25">
      <c r="A969" t="s">
        <v>174</v>
      </c>
      <c r="B969">
        <v>2025</v>
      </c>
      <c r="C969" t="s">
        <v>9</v>
      </c>
      <c r="D969" t="s">
        <v>8</v>
      </c>
      <c r="E969" t="s">
        <v>36</v>
      </c>
      <c r="F969" t="s">
        <v>26</v>
      </c>
      <c r="G969" t="s">
        <v>135</v>
      </c>
      <c r="H969" t="s">
        <v>85</v>
      </c>
      <c r="I969" t="s">
        <v>24</v>
      </c>
      <c r="J969" t="s">
        <v>79</v>
      </c>
      <c r="K969">
        <v>1</v>
      </c>
      <c r="L969" t="s">
        <v>150</v>
      </c>
      <c r="M969">
        <v>0.83</v>
      </c>
      <c r="N969" t="s">
        <v>173</v>
      </c>
      <c r="O969" t="s">
        <v>150</v>
      </c>
      <c r="P969">
        <v>44392</v>
      </c>
      <c r="Q969">
        <v>11.94</v>
      </c>
      <c r="R969">
        <v>0.36</v>
      </c>
      <c r="S969" t="b">
        <v>1</v>
      </c>
      <c r="T969">
        <v>2</v>
      </c>
      <c r="U969">
        <v>3</v>
      </c>
      <c r="V969" t="s">
        <v>0</v>
      </c>
    </row>
    <row r="970" spans="1:22" x14ac:dyDescent="0.25">
      <c r="A970" t="s">
        <v>172</v>
      </c>
      <c r="B970">
        <v>2025</v>
      </c>
      <c r="C970" t="s">
        <v>171</v>
      </c>
      <c r="D970" t="s">
        <v>57</v>
      </c>
      <c r="E970" t="s">
        <v>121</v>
      </c>
      <c r="F970" t="s">
        <v>112</v>
      </c>
      <c r="G970" t="s">
        <v>135</v>
      </c>
      <c r="H970" t="s">
        <v>102</v>
      </c>
      <c r="I970" t="s">
        <v>74</v>
      </c>
      <c r="J970" t="s">
        <v>96</v>
      </c>
      <c r="K970">
        <v>1</v>
      </c>
      <c r="L970" t="s">
        <v>169</v>
      </c>
      <c r="M970">
        <v>0.75</v>
      </c>
      <c r="N970" t="s">
        <v>170</v>
      </c>
      <c r="O970" t="s">
        <v>169</v>
      </c>
      <c r="P970">
        <v>139394</v>
      </c>
      <c r="Q970">
        <v>5.44</v>
      </c>
      <c r="R970">
        <v>0.32</v>
      </c>
      <c r="S970" t="b">
        <v>1</v>
      </c>
      <c r="T970">
        <v>3</v>
      </c>
      <c r="U970">
        <v>13</v>
      </c>
      <c r="V970" t="s">
        <v>46</v>
      </c>
    </row>
    <row r="971" spans="1:22" x14ac:dyDescent="0.25">
      <c r="A971" t="s">
        <v>168</v>
      </c>
      <c r="B971">
        <v>2025</v>
      </c>
      <c r="C971" t="s">
        <v>167</v>
      </c>
      <c r="D971" t="s">
        <v>43</v>
      </c>
      <c r="E971" t="s">
        <v>116</v>
      </c>
      <c r="F971" t="s">
        <v>55</v>
      </c>
      <c r="G971" t="s">
        <v>62</v>
      </c>
      <c r="H971" t="s">
        <v>102</v>
      </c>
      <c r="I971" t="s">
        <v>14</v>
      </c>
      <c r="J971" t="s">
        <v>79</v>
      </c>
      <c r="K971">
        <v>1</v>
      </c>
      <c r="L971" t="s">
        <v>110</v>
      </c>
      <c r="M971">
        <v>0.68</v>
      </c>
      <c r="N971" t="s">
        <v>166</v>
      </c>
      <c r="O971" t="s">
        <v>110</v>
      </c>
      <c r="P971">
        <v>119596</v>
      </c>
      <c r="Q971">
        <v>13.64</v>
      </c>
      <c r="R971">
        <v>0.2</v>
      </c>
      <c r="S971" t="b">
        <v>1</v>
      </c>
      <c r="T971">
        <v>3</v>
      </c>
      <c r="U971">
        <v>2</v>
      </c>
      <c r="V971" t="s">
        <v>46</v>
      </c>
    </row>
    <row r="972" spans="1:22" x14ac:dyDescent="0.25">
      <c r="A972" t="s">
        <v>165</v>
      </c>
      <c r="B972">
        <v>2025</v>
      </c>
      <c r="C972" t="s">
        <v>164</v>
      </c>
      <c r="D972" t="s">
        <v>8</v>
      </c>
      <c r="E972" t="s">
        <v>27</v>
      </c>
      <c r="F972" t="s">
        <v>63</v>
      </c>
      <c r="G972" t="s">
        <v>62</v>
      </c>
      <c r="H972" t="s">
        <v>49</v>
      </c>
      <c r="I972" t="s">
        <v>90</v>
      </c>
      <c r="J972" t="s">
        <v>96</v>
      </c>
      <c r="K972">
        <v>0</v>
      </c>
      <c r="M972">
        <v>0.04</v>
      </c>
      <c r="N972" t="s">
        <v>163</v>
      </c>
      <c r="P972">
        <v>30495</v>
      </c>
      <c r="Q972">
        <v>-1.76</v>
      </c>
      <c r="R972">
        <v>0.66</v>
      </c>
      <c r="S972" t="b">
        <v>0</v>
      </c>
      <c r="T972">
        <v>3</v>
      </c>
      <c r="U972">
        <v>13</v>
      </c>
      <c r="V972" t="s">
        <v>46</v>
      </c>
    </row>
    <row r="973" spans="1:22" x14ac:dyDescent="0.25">
      <c r="A973" t="s">
        <v>162</v>
      </c>
      <c r="B973">
        <v>2025</v>
      </c>
      <c r="C973" t="s">
        <v>161</v>
      </c>
      <c r="D973" t="s">
        <v>8</v>
      </c>
      <c r="E973" t="s">
        <v>116</v>
      </c>
      <c r="F973" t="s">
        <v>124</v>
      </c>
      <c r="G973" t="s">
        <v>62</v>
      </c>
      <c r="H973" t="s">
        <v>15</v>
      </c>
      <c r="I973" t="s">
        <v>74</v>
      </c>
      <c r="J973" t="s">
        <v>73</v>
      </c>
      <c r="K973">
        <v>1</v>
      </c>
      <c r="L973" t="s">
        <v>159</v>
      </c>
      <c r="M973">
        <v>0.54</v>
      </c>
      <c r="N973" t="s">
        <v>160</v>
      </c>
      <c r="O973" t="s">
        <v>159</v>
      </c>
      <c r="P973">
        <v>39867</v>
      </c>
      <c r="Q973">
        <v>14.68</v>
      </c>
      <c r="R973">
        <v>0.3</v>
      </c>
      <c r="S973" t="b">
        <v>1</v>
      </c>
      <c r="T973">
        <v>3</v>
      </c>
      <c r="U973">
        <v>10</v>
      </c>
      <c r="V973" t="s">
        <v>0</v>
      </c>
    </row>
    <row r="974" spans="1:22" x14ac:dyDescent="0.25">
      <c r="A974" t="s">
        <v>158</v>
      </c>
      <c r="B974">
        <v>2025</v>
      </c>
      <c r="C974" t="s">
        <v>157</v>
      </c>
      <c r="D974" t="s">
        <v>18</v>
      </c>
      <c r="E974" t="s">
        <v>27</v>
      </c>
      <c r="F974" t="s">
        <v>156</v>
      </c>
      <c r="G974" t="s">
        <v>135</v>
      </c>
      <c r="H974" t="s">
        <v>85</v>
      </c>
      <c r="I974" t="s">
        <v>33</v>
      </c>
      <c r="J974" t="s">
        <v>73</v>
      </c>
      <c r="K974">
        <v>1</v>
      </c>
      <c r="L974" t="s">
        <v>154</v>
      </c>
      <c r="M974">
        <v>0.53</v>
      </c>
      <c r="N974" t="s">
        <v>155</v>
      </c>
      <c r="O974" t="s">
        <v>154</v>
      </c>
      <c r="P974">
        <v>123372</v>
      </c>
      <c r="Q974">
        <v>11.43</v>
      </c>
      <c r="R974">
        <v>0.31</v>
      </c>
      <c r="S974" t="b">
        <v>1</v>
      </c>
      <c r="T974">
        <v>2</v>
      </c>
      <c r="U974">
        <v>11</v>
      </c>
      <c r="V974" t="s">
        <v>0</v>
      </c>
    </row>
    <row r="975" spans="1:22" x14ac:dyDescent="0.25">
      <c r="A975" t="s">
        <v>153</v>
      </c>
      <c r="B975">
        <v>2025</v>
      </c>
      <c r="C975" t="s">
        <v>152</v>
      </c>
      <c r="D975" t="s">
        <v>28</v>
      </c>
      <c r="E975" t="s">
        <v>17</v>
      </c>
      <c r="F975" t="s">
        <v>6</v>
      </c>
      <c r="G975" t="s">
        <v>25</v>
      </c>
      <c r="H975" t="s">
        <v>34</v>
      </c>
      <c r="I975" t="s">
        <v>74</v>
      </c>
      <c r="J975" t="s">
        <v>79</v>
      </c>
      <c r="K975">
        <v>1</v>
      </c>
      <c r="L975" t="s">
        <v>150</v>
      </c>
      <c r="M975">
        <v>0.91</v>
      </c>
      <c r="N975" t="s">
        <v>151</v>
      </c>
      <c r="O975" t="s">
        <v>150</v>
      </c>
      <c r="P975">
        <v>64784</v>
      </c>
      <c r="Q975">
        <v>13.96</v>
      </c>
      <c r="R975">
        <v>0.38</v>
      </c>
      <c r="S975" t="b">
        <v>1</v>
      </c>
      <c r="T975">
        <v>1</v>
      </c>
      <c r="U975">
        <v>19</v>
      </c>
      <c r="V975" t="s">
        <v>0</v>
      </c>
    </row>
    <row r="976" spans="1:22" x14ac:dyDescent="0.25">
      <c r="A976" t="s">
        <v>149</v>
      </c>
      <c r="B976">
        <v>2025</v>
      </c>
      <c r="C976" t="s">
        <v>148</v>
      </c>
      <c r="D976" t="s">
        <v>28</v>
      </c>
      <c r="E976" t="s">
        <v>147</v>
      </c>
      <c r="F976" t="s">
        <v>55</v>
      </c>
      <c r="G976" t="s">
        <v>135</v>
      </c>
      <c r="H976" t="s">
        <v>34</v>
      </c>
      <c r="I976" t="s">
        <v>97</v>
      </c>
      <c r="J976" t="s">
        <v>23</v>
      </c>
      <c r="K976">
        <v>1</v>
      </c>
      <c r="L976" t="s">
        <v>47</v>
      </c>
      <c r="M976">
        <v>0.66</v>
      </c>
      <c r="N976" t="s">
        <v>146</v>
      </c>
      <c r="O976" t="s">
        <v>47</v>
      </c>
      <c r="P976">
        <v>62767</v>
      </c>
      <c r="Q976">
        <v>5.49</v>
      </c>
      <c r="R976">
        <v>0.22</v>
      </c>
      <c r="S976" t="b">
        <v>1</v>
      </c>
      <c r="T976">
        <v>3</v>
      </c>
      <c r="U976">
        <v>16</v>
      </c>
      <c r="V976" t="s">
        <v>0</v>
      </c>
    </row>
    <row r="977" spans="1:22" x14ac:dyDescent="0.25">
      <c r="A977" t="s">
        <v>145</v>
      </c>
      <c r="B977">
        <v>2025</v>
      </c>
      <c r="C977" t="s">
        <v>44</v>
      </c>
      <c r="D977" t="s">
        <v>43</v>
      </c>
      <c r="E977" t="s">
        <v>116</v>
      </c>
      <c r="F977" t="s">
        <v>124</v>
      </c>
      <c r="G977" t="s">
        <v>5</v>
      </c>
      <c r="H977" t="s">
        <v>34</v>
      </c>
      <c r="I977" t="s">
        <v>107</v>
      </c>
      <c r="J977" t="s">
        <v>96</v>
      </c>
      <c r="K977">
        <v>1</v>
      </c>
      <c r="L977" t="s">
        <v>143</v>
      </c>
      <c r="M977">
        <v>0.56999999999999995</v>
      </c>
      <c r="N977" t="s">
        <v>144</v>
      </c>
      <c r="O977" t="s">
        <v>143</v>
      </c>
      <c r="P977">
        <v>126129</v>
      </c>
      <c r="Q977">
        <v>12.95</v>
      </c>
      <c r="R977">
        <v>0.28000000000000003</v>
      </c>
      <c r="S977" t="b">
        <v>1</v>
      </c>
      <c r="T977">
        <v>2</v>
      </c>
      <c r="U977">
        <v>11</v>
      </c>
      <c r="V977" t="s">
        <v>0</v>
      </c>
    </row>
    <row r="978" spans="1:22" x14ac:dyDescent="0.25">
      <c r="A978" t="s">
        <v>142</v>
      </c>
      <c r="B978">
        <v>2025</v>
      </c>
      <c r="C978" t="s">
        <v>104</v>
      </c>
      <c r="D978" t="s">
        <v>8</v>
      </c>
      <c r="E978" t="s">
        <v>36</v>
      </c>
      <c r="F978" t="s">
        <v>69</v>
      </c>
      <c r="G978" t="s">
        <v>5</v>
      </c>
      <c r="H978" t="s">
        <v>141</v>
      </c>
      <c r="I978" t="s">
        <v>3</v>
      </c>
      <c r="J978" t="s">
        <v>73</v>
      </c>
      <c r="K978">
        <v>1</v>
      </c>
      <c r="L978" t="s">
        <v>139</v>
      </c>
      <c r="M978">
        <v>0.45</v>
      </c>
      <c r="N978" t="s">
        <v>140</v>
      </c>
      <c r="O978" t="s">
        <v>139</v>
      </c>
      <c r="P978">
        <v>40474</v>
      </c>
      <c r="Q978">
        <v>9.4499999999999993</v>
      </c>
      <c r="R978">
        <v>0.26</v>
      </c>
      <c r="S978" t="b">
        <v>1</v>
      </c>
      <c r="T978">
        <v>1</v>
      </c>
      <c r="U978">
        <v>18</v>
      </c>
      <c r="V978" t="s">
        <v>0</v>
      </c>
    </row>
    <row r="979" spans="1:22" x14ac:dyDescent="0.25">
      <c r="A979" t="s">
        <v>138</v>
      </c>
      <c r="B979">
        <v>2025</v>
      </c>
      <c r="C979" t="s">
        <v>137</v>
      </c>
      <c r="D979" t="s">
        <v>43</v>
      </c>
      <c r="E979" t="s">
        <v>42</v>
      </c>
      <c r="F979" t="s">
        <v>136</v>
      </c>
      <c r="G979" t="s">
        <v>135</v>
      </c>
      <c r="H979" t="s">
        <v>61</v>
      </c>
      <c r="I979" t="s">
        <v>74</v>
      </c>
      <c r="J979" t="s">
        <v>2</v>
      </c>
      <c r="K979">
        <v>1</v>
      </c>
      <c r="L979" t="s">
        <v>133</v>
      </c>
      <c r="M979">
        <v>0.83</v>
      </c>
      <c r="N979" t="s">
        <v>134</v>
      </c>
      <c r="O979" t="s">
        <v>133</v>
      </c>
      <c r="P979">
        <v>113360</v>
      </c>
      <c r="Q979">
        <v>15.18</v>
      </c>
      <c r="R979">
        <v>0.26</v>
      </c>
      <c r="S979" t="b">
        <v>1</v>
      </c>
      <c r="T979">
        <v>1</v>
      </c>
      <c r="U979">
        <v>8</v>
      </c>
      <c r="V979" t="s">
        <v>0</v>
      </c>
    </row>
    <row r="980" spans="1:22" x14ac:dyDescent="0.25">
      <c r="A980" t="s">
        <v>132</v>
      </c>
      <c r="B980">
        <v>2025</v>
      </c>
      <c r="C980" t="s">
        <v>86</v>
      </c>
      <c r="D980" t="s">
        <v>131</v>
      </c>
      <c r="E980" t="s">
        <v>130</v>
      </c>
      <c r="F980" t="s">
        <v>75</v>
      </c>
      <c r="G980" t="s">
        <v>62</v>
      </c>
      <c r="H980" t="s">
        <v>49</v>
      </c>
      <c r="I980" t="s">
        <v>40</v>
      </c>
      <c r="J980" t="s">
        <v>79</v>
      </c>
      <c r="K980">
        <v>1</v>
      </c>
      <c r="L980" t="s">
        <v>128</v>
      </c>
      <c r="M980">
        <v>0.48</v>
      </c>
      <c r="N980" t="s">
        <v>129</v>
      </c>
      <c r="O980" t="s">
        <v>128</v>
      </c>
      <c r="P980">
        <v>64756</v>
      </c>
      <c r="Q980">
        <v>8.5</v>
      </c>
      <c r="R980">
        <v>0.11</v>
      </c>
      <c r="S980" t="b">
        <v>1</v>
      </c>
      <c r="T980">
        <v>2</v>
      </c>
      <c r="U980">
        <v>11</v>
      </c>
      <c r="V980" t="s">
        <v>46</v>
      </c>
    </row>
    <row r="981" spans="1:22" x14ac:dyDescent="0.25">
      <c r="A981" t="s">
        <v>127</v>
      </c>
      <c r="B981">
        <v>2025</v>
      </c>
      <c r="C981" t="s">
        <v>126</v>
      </c>
      <c r="D981" t="s">
        <v>125</v>
      </c>
      <c r="E981" t="s">
        <v>17</v>
      </c>
      <c r="F981" t="s">
        <v>124</v>
      </c>
      <c r="G981" t="s">
        <v>62</v>
      </c>
      <c r="H981" t="s">
        <v>49</v>
      </c>
      <c r="I981" t="s">
        <v>33</v>
      </c>
      <c r="J981" t="s">
        <v>73</v>
      </c>
      <c r="K981">
        <v>0</v>
      </c>
      <c r="M981">
        <v>0.01</v>
      </c>
      <c r="N981" t="s">
        <v>123</v>
      </c>
      <c r="P981">
        <v>25363</v>
      </c>
      <c r="Q981">
        <v>-0.68</v>
      </c>
      <c r="R981">
        <v>0.72</v>
      </c>
      <c r="S981" t="b">
        <v>0</v>
      </c>
      <c r="T981">
        <v>1</v>
      </c>
      <c r="U981">
        <v>12</v>
      </c>
      <c r="V981" t="s">
        <v>46</v>
      </c>
    </row>
    <row r="982" spans="1:22" x14ac:dyDescent="0.25">
      <c r="A982" t="s">
        <v>122</v>
      </c>
      <c r="B982">
        <v>2025</v>
      </c>
      <c r="C982" t="s">
        <v>117</v>
      </c>
      <c r="D982" t="s">
        <v>91</v>
      </c>
      <c r="E982" t="s">
        <v>121</v>
      </c>
      <c r="F982" t="s">
        <v>112</v>
      </c>
      <c r="G982" t="s">
        <v>62</v>
      </c>
      <c r="H982" t="s">
        <v>102</v>
      </c>
      <c r="I982" t="s">
        <v>97</v>
      </c>
      <c r="J982" t="s">
        <v>96</v>
      </c>
      <c r="K982">
        <v>1</v>
      </c>
      <c r="L982" t="s">
        <v>119</v>
      </c>
      <c r="M982">
        <v>0.43</v>
      </c>
      <c r="N982" t="s">
        <v>120</v>
      </c>
      <c r="O982" t="s">
        <v>119</v>
      </c>
      <c r="P982">
        <v>111887</v>
      </c>
      <c r="Q982">
        <v>15.45</v>
      </c>
      <c r="R982">
        <v>0.22</v>
      </c>
      <c r="S982" t="b">
        <v>1</v>
      </c>
      <c r="T982">
        <v>2</v>
      </c>
      <c r="U982">
        <v>10</v>
      </c>
      <c r="V982" t="s">
        <v>46</v>
      </c>
    </row>
    <row r="983" spans="1:22" x14ac:dyDescent="0.25">
      <c r="A983" t="s">
        <v>118</v>
      </c>
      <c r="B983">
        <v>2025</v>
      </c>
      <c r="C983" t="s">
        <v>117</v>
      </c>
      <c r="D983" t="s">
        <v>91</v>
      </c>
      <c r="E983" t="s">
        <v>116</v>
      </c>
      <c r="F983" t="s">
        <v>115</v>
      </c>
      <c r="G983" t="s">
        <v>5</v>
      </c>
      <c r="H983" t="s">
        <v>34</v>
      </c>
      <c r="I983" t="s">
        <v>3</v>
      </c>
      <c r="J983" t="s">
        <v>96</v>
      </c>
      <c r="K983">
        <v>0</v>
      </c>
      <c r="M983">
        <v>0</v>
      </c>
      <c r="N983" t="s">
        <v>114</v>
      </c>
      <c r="P983">
        <v>66723</v>
      </c>
      <c r="Q983">
        <v>-0.14000000000000001</v>
      </c>
      <c r="R983">
        <v>0.67</v>
      </c>
      <c r="S983" t="b">
        <v>0</v>
      </c>
      <c r="T983">
        <v>3</v>
      </c>
      <c r="U983">
        <v>9</v>
      </c>
      <c r="V983" t="s">
        <v>0</v>
      </c>
    </row>
    <row r="984" spans="1:22" x14ac:dyDescent="0.25">
      <c r="A984" t="s">
        <v>113</v>
      </c>
      <c r="B984">
        <v>2025</v>
      </c>
      <c r="C984" t="s">
        <v>58</v>
      </c>
      <c r="D984" t="s">
        <v>57</v>
      </c>
      <c r="E984" t="s">
        <v>86</v>
      </c>
      <c r="F984" t="s">
        <v>112</v>
      </c>
      <c r="G984" t="s">
        <v>5</v>
      </c>
      <c r="H984" t="s">
        <v>85</v>
      </c>
      <c r="I984" t="s">
        <v>24</v>
      </c>
      <c r="J984" t="s">
        <v>23</v>
      </c>
      <c r="K984">
        <v>1</v>
      </c>
      <c r="L984" t="s">
        <v>110</v>
      </c>
      <c r="M984">
        <v>0.5</v>
      </c>
      <c r="N984" t="s">
        <v>111</v>
      </c>
      <c r="O984" t="s">
        <v>110</v>
      </c>
      <c r="P984">
        <v>142369</v>
      </c>
      <c r="Q984">
        <v>11.52</v>
      </c>
      <c r="R984">
        <v>0.34</v>
      </c>
      <c r="S984" t="b">
        <v>1</v>
      </c>
      <c r="T984">
        <v>3</v>
      </c>
      <c r="U984">
        <v>8</v>
      </c>
      <c r="V984" t="s">
        <v>0</v>
      </c>
    </row>
    <row r="985" spans="1:22" x14ac:dyDescent="0.25">
      <c r="A985" t="s">
        <v>109</v>
      </c>
      <c r="B985">
        <v>2025</v>
      </c>
      <c r="C985" t="s">
        <v>9</v>
      </c>
      <c r="D985" t="s">
        <v>8</v>
      </c>
      <c r="E985" t="s">
        <v>7</v>
      </c>
      <c r="F985" t="s">
        <v>108</v>
      </c>
      <c r="G985" t="s">
        <v>62</v>
      </c>
      <c r="H985" t="s">
        <v>85</v>
      </c>
      <c r="I985" t="s">
        <v>107</v>
      </c>
      <c r="J985" t="s">
        <v>23</v>
      </c>
      <c r="K985">
        <v>0</v>
      </c>
      <c r="M985">
        <v>0.12</v>
      </c>
      <c r="N985" t="s">
        <v>106</v>
      </c>
      <c r="P985">
        <v>33005</v>
      </c>
      <c r="Q985">
        <v>4.08</v>
      </c>
      <c r="R985">
        <v>0.88</v>
      </c>
      <c r="S985" t="b">
        <v>0</v>
      </c>
      <c r="T985">
        <v>1</v>
      </c>
      <c r="U985">
        <v>3</v>
      </c>
      <c r="V985" t="s">
        <v>0</v>
      </c>
    </row>
    <row r="986" spans="1:22" x14ac:dyDescent="0.25">
      <c r="A986" t="s">
        <v>105</v>
      </c>
      <c r="B986">
        <v>2025</v>
      </c>
      <c r="C986" t="s">
        <v>104</v>
      </c>
      <c r="D986" t="s">
        <v>8</v>
      </c>
      <c r="E986" t="s">
        <v>7</v>
      </c>
      <c r="F986" t="s">
        <v>103</v>
      </c>
      <c r="G986" t="s">
        <v>25</v>
      </c>
      <c r="H986" t="s">
        <v>102</v>
      </c>
      <c r="I986" t="s">
        <v>40</v>
      </c>
      <c r="J986" t="s">
        <v>96</v>
      </c>
      <c r="K986">
        <v>1</v>
      </c>
      <c r="L986" t="s">
        <v>100</v>
      </c>
      <c r="M986">
        <v>0.56999999999999995</v>
      </c>
      <c r="N986" t="s">
        <v>101</v>
      </c>
      <c r="O986" t="s">
        <v>100</v>
      </c>
      <c r="P986">
        <v>44876</v>
      </c>
      <c r="Q986">
        <v>11.82</v>
      </c>
      <c r="R986">
        <v>0.21</v>
      </c>
      <c r="S986" t="b">
        <v>1</v>
      </c>
      <c r="T986">
        <v>2</v>
      </c>
      <c r="U986">
        <v>13</v>
      </c>
      <c r="V986" t="s">
        <v>46</v>
      </c>
    </row>
    <row r="987" spans="1:22" x14ac:dyDescent="0.25">
      <c r="A987" t="s">
        <v>99</v>
      </c>
      <c r="B987">
        <v>2025</v>
      </c>
      <c r="C987" t="s">
        <v>98</v>
      </c>
      <c r="D987" t="s">
        <v>43</v>
      </c>
      <c r="E987" t="s">
        <v>7</v>
      </c>
      <c r="F987" t="s">
        <v>26</v>
      </c>
      <c r="G987" t="s">
        <v>62</v>
      </c>
      <c r="H987" t="s">
        <v>15</v>
      </c>
      <c r="I987" t="s">
        <v>97</v>
      </c>
      <c r="J987" t="s">
        <v>96</v>
      </c>
      <c r="K987">
        <v>1</v>
      </c>
      <c r="L987" t="s">
        <v>94</v>
      </c>
      <c r="M987">
        <v>0.61</v>
      </c>
      <c r="N987" t="s">
        <v>95</v>
      </c>
      <c r="O987" t="s">
        <v>94</v>
      </c>
      <c r="P987">
        <v>135054</v>
      </c>
      <c r="Q987">
        <v>17.25</v>
      </c>
      <c r="R987">
        <v>0.2</v>
      </c>
      <c r="S987" t="b">
        <v>1</v>
      </c>
      <c r="T987">
        <v>1</v>
      </c>
      <c r="U987">
        <v>14</v>
      </c>
      <c r="V987" t="s">
        <v>0</v>
      </c>
    </row>
    <row r="988" spans="1:22" x14ac:dyDescent="0.25">
      <c r="A988" t="s">
        <v>93</v>
      </c>
      <c r="B988">
        <v>2025</v>
      </c>
      <c r="C988" t="s">
        <v>92</v>
      </c>
      <c r="D988" t="s">
        <v>91</v>
      </c>
      <c r="E988" t="s">
        <v>36</v>
      </c>
      <c r="F988" t="s">
        <v>75</v>
      </c>
      <c r="G988" t="s">
        <v>25</v>
      </c>
      <c r="H988" t="s">
        <v>15</v>
      </c>
      <c r="I988" t="s">
        <v>90</v>
      </c>
      <c r="J988" t="s">
        <v>79</v>
      </c>
      <c r="K988">
        <v>1</v>
      </c>
      <c r="L988" t="s">
        <v>88</v>
      </c>
      <c r="M988">
        <v>0.57999999999999996</v>
      </c>
      <c r="N988" t="s">
        <v>89</v>
      </c>
      <c r="O988" t="s">
        <v>88</v>
      </c>
      <c r="P988">
        <v>91847</v>
      </c>
      <c r="Q988">
        <v>14.58</v>
      </c>
      <c r="R988">
        <v>0.39</v>
      </c>
      <c r="S988" t="b">
        <v>1</v>
      </c>
      <c r="T988">
        <v>2</v>
      </c>
      <c r="U988">
        <v>4</v>
      </c>
      <c r="V988" t="s">
        <v>0</v>
      </c>
    </row>
    <row r="989" spans="1:22" x14ac:dyDescent="0.25">
      <c r="A989" t="s">
        <v>87</v>
      </c>
      <c r="B989">
        <v>2025</v>
      </c>
      <c r="C989" t="s">
        <v>70</v>
      </c>
      <c r="D989" t="s">
        <v>18</v>
      </c>
      <c r="E989" t="s">
        <v>86</v>
      </c>
      <c r="F989" t="s">
        <v>41</v>
      </c>
      <c r="G989" t="s">
        <v>5</v>
      </c>
      <c r="H989" t="s">
        <v>85</v>
      </c>
      <c r="I989" t="s">
        <v>24</v>
      </c>
      <c r="J989" t="s">
        <v>13</v>
      </c>
      <c r="K989">
        <v>1</v>
      </c>
      <c r="L989" t="s">
        <v>83</v>
      </c>
      <c r="M989">
        <v>0.46</v>
      </c>
      <c r="N989" t="s">
        <v>84</v>
      </c>
      <c r="O989" t="s">
        <v>83</v>
      </c>
      <c r="P989">
        <v>100827</v>
      </c>
      <c r="Q989">
        <v>14.22</v>
      </c>
      <c r="R989">
        <v>0.13</v>
      </c>
      <c r="S989" t="b">
        <v>1</v>
      </c>
      <c r="T989">
        <v>2</v>
      </c>
      <c r="U989">
        <v>15</v>
      </c>
      <c r="V989" t="s">
        <v>0</v>
      </c>
    </row>
    <row r="990" spans="1:22" x14ac:dyDescent="0.25">
      <c r="A990" t="s">
        <v>82</v>
      </c>
      <c r="B990">
        <v>2025</v>
      </c>
      <c r="C990" t="s">
        <v>81</v>
      </c>
      <c r="D990" t="s">
        <v>28</v>
      </c>
      <c r="E990" t="s">
        <v>50</v>
      </c>
      <c r="F990" t="s">
        <v>80</v>
      </c>
      <c r="G990" t="s">
        <v>62</v>
      </c>
      <c r="H990" t="s">
        <v>49</v>
      </c>
      <c r="I990" t="s">
        <v>74</v>
      </c>
      <c r="J990" t="s">
        <v>79</v>
      </c>
      <c r="K990">
        <v>1</v>
      </c>
      <c r="L990" t="s">
        <v>77</v>
      </c>
      <c r="M990">
        <v>0.71</v>
      </c>
      <c r="N990" t="s">
        <v>78</v>
      </c>
      <c r="O990" t="s">
        <v>77</v>
      </c>
      <c r="P990">
        <v>79507</v>
      </c>
      <c r="Q990">
        <v>5.3</v>
      </c>
      <c r="R990">
        <v>0.28000000000000003</v>
      </c>
      <c r="S990" t="b">
        <v>1</v>
      </c>
      <c r="T990">
        <v>2</v>
      </c>
      <c r="U990">
        <v>2</v>
      </c>
      <c r="V990" t="s">
        <v>46</v>
      </c>
    </row>
    <row r="991" spans="1:22" x14ac:dyDescent="0.25">
      <c r="A991" t="s">
        <v>76</v>
      </c>
      <c r="B991">
        <v>2025</v>
      </c>
      <c r="C991" t="s">
        <v>58</v>
      </c>
      <c r="D991" t="s">
        <v>57</v>
      </c>
      <c r="E991" t="s">
        <v>56</v>
      </c>
      <c r="F991" t="s">
        <v>75</v>
      </c>
      <c r="G991" t="s">
        <v>62</v>
      </c>
      <c r="H991" t="s">
        <v>34</v>
      </c>
      <c r="I991" t="s">
        <v>74</v>
      </c>
      <c r="J991" t="s">
        <v>73</v>
      </c>
      <c r="K991">
        <v>0</v>
      </c>
      <c r="M991">
        <v>0.02</v>
      </c>
      <c r="N991" t="s">
        <v>72</v>
      </c>
      <c r="P991">
        <v>105607</v>
      </c>
      <c r="Q991">
        <v>2.25</v>
      </c>
      <c r="R991">
        <v>0.62</v>
      </c>
      <c r="S991" t="b">
        <v>0</v>
      </c>
      <c r="T991">
        <v>3</v>
      </c>
      <c r="U991">
        <v>11</v>
      </c>
      <c r="V991" t="s">
        <v>0</v>
      </c>
    </row>
    <row r="992" spans="1:22" x14ac:dyDescent="0.25">
      <c r="A992" t="s">
        <v>71</v>
      </c>
      <c r="B992">
        <v>2025</v>
      </c>
      <c r="C992" t="s">
        <v>70</v>
      </c>
      <c r="D992" t="s">
        <v>18</v>
      </c>
      <c r="E992" t="s">
        <v>17</v>
      </c>
      <c r="F992" t="s">
        <v>69</v>
      </c>
      <c r="G992" t="s">
        <v>16</v>
      </c>
      <c r="H992" t="s">
        <v>61</v>
      </c>
      <c r="I992" t="s">
        <v>68</v>
      </c>
      <c r="J992" t="s">
        <v>13</v>
      </c>
      <c r="K992">
        <v>0</v>
      </c>
      <c r="M992">
        <v>0.08</v>
      </c>
      <c r="N992" t="s">
        <v>67</v>
      </c>
      <c r="P992">
        <v>82839</v>
      </c>
      <c r="Q992">
        <v>-1.3</v>
      </c>
      <c r="R992">
        <v>0.77</v>
      </c>
      <c r="S992" t="b">
        <v>0</v>
      </c>
      <c r="T992">
        <v>2</v>
      </c>
      <c r="U992">
        <v>16</v>
      </c>
      <c r="V992" t="s">
        <v>0</v>
      </c>
    </row>
    <row r="993" spans="1:22" x14ac:dyDescent="0.25">
      <c r="A993" t="s">
        <v>66</v>
      </c>
      <c r="B993">
        <v>2025</v>
      </c>
      <c r="C993" t="s">
        <v>65</v>
      </c>
      <c r="D993" t="s">
        <v>64</v>
      </c>
      <c r="E993" t="s">
        <v>17</v>
      </c>
      <c r="F993" t="s">
        <v>63</v>
      </c>
      <c r="G993" t="s">
        <v>62</v>
      </c>
      <c r="H993" t="s">
        <v>61</v>
      </c>
      <c r="I993" t="s">
        <v>14</v>
      </c>
      <c r="J993" t="s">
        <v>23</v>
      </c>
      <c r="K993">
        <v>0</v>
      </c>
      <c r="M993">
        <v>0.17</v>
      </c>
      <c r="N993" t="s">
        <v>60</v>
      </c>
      <c r="P993">
        <v>106349</v>
      </c>
      <c r="Q993">
        <v>1.07</v>
      </c>
      <c r="R993">
        <v>0.89</v>
      </c>
      <c r="S993" t="b">
        <v>0</v>
      </c>
      <c r="T993">
        <v>2</v>
      </c>
      <c r="U993">
        <v>11</v>
      </c>
      <c r="V993" t="s">
        <v>0</v>
      </c>
    </row>
    <row r="994" spans="1:22" x14ac:dyDescent="0.25">
      <c r="A994" t="s">
        <v>59</v>
      </c>
      <c r="B994">
        <v>2025</v>
      </c>
      <c r="C994" t="s">
        <v>58</v>
      </c>
      <c r="D994" t="s">
        <v>57</v>
      </c>
      <c r="E994" t="s">
        <v>56</v>
      </c>
      <c r="F994" t="s">
        <v>55</v>
      </c>
      <c r="G994" t="s">
        <v>25</v>
      </c>
      <c r="H994" t="s">
        <v>34</v>
      </c>
      <c r="I994" t="s">
        <v>24</v>
      </c>
      <c r="J994" t="s">
        <v>23</v>
      </c>
      <c r="K994">
        <v>1</v>
      </c>
      <c r="L994" t="s">
        <v>53</v>
      </c>
      <c r="M994">
        <v>0.52</v>
      </c>
      <c r="N994" t="s">
        <v>54</v>
      </c>
      <c r="O994" t="s">
        <v>53</v>
      </c>
      <c r="P994">
        <v>123398</v>
      </c>
      <c r="Q994">
        <v>11.17</v>
      </c>
      <c r="R994">
        <v>0.1</v>
      </c>
      <c r="S994" t="b">
        <v>1</v>
      </c>
      <c r="T994">
        <v>1</v>
      </c>
      <c r="U994">
        <v>16</v>
      </c>
      <c r="V994" t="s">
        <v>0</v>
      </c>
    </row>
    <row r="995" spans="1:22" x14ac:dyDescent="0.25">
      <c r="A995" t="s">
        <v>52</v>
      </c>
      <c r="B995">
        <v>2025</v>
      </c>
      <c r="C995" t="s">
        <v>51</v>
      </c>
      <c r="D995" t="s">
        <v>18</v>
      </c>
      <c r="E995" t="s">
        <v>50</v>
      </c>
      <c r="F995" t="s">
        <v>6</v>
      </c>
      <c r="G995" t="s">
        <v>25</v>
      </c>
      <c r="H995" t="s">
        <v>49</v>
      </c>
      <c r="I995" t="s">
        <v>3</v>
      </c>
      <c r="J995" t="s">
        <v>2</v>
      </c>
      <c r="K995">
        <v>1</v>
      </c>
      <c r="L995" t="s">
        <v>47</v>
      </c>
      <c r="M995">
        <v>0.86</v>
      </c>
      <c r="N995" t="s">
        <v>48</v>
      </c>
      <c r="O995" t="s">
        <v>47</v>
      </c>
      <c r="P995">
        <v>110135</v>
      </c>
      <c r="Q995">
        <v>8.98</v>
      </c>
      <c r="R995">
        <v>0.22</v>
      </c>
      <c r="S995" t="b">
        <v>1</v>
      </c>
      <c r="T995">
        <v>2</v>
      </c>
      <c r="U995">
        <v>0</v>
      </c>
      <c r="V995" t="s">
        <v>46</v>
      </c>
    </row>
    <row r="996" spans="1:22" x14ac:dyDescent="0.25">
      <c r="A996" t="s">
        <v>45</v>
      </c>
      <c r="B996">
        <v>2025</v>
      </c>
      <c r="C996" t="s">
        <v>44</v>
      </c>
      <c r="D996" t="s">
        <v>43</v>
      </c>
      <c r="E996" t="s">
        <v>42</v>
      </c>
      <c r="F996" t="s">
        <v>41</v>
      </c>
      <c r="G996" t="s">
        <v>16</v>
      </c>
      <c r="H996" t="s">
        <v>4</v>
      </c>
      <c r="I996" t="s">
        <v>40</v>
      </c>
      <c r="J996" t="s">
        <v>2</v>
      </c>
      <c r="K996">
        <v>1</v>
      </c>
      <c r="L996" t="s">
        <v>38</v>
      </c>
      <c r="M996">
        <v>0.4</v>
      </c>
      <c r="N996" t="s">
        <v>39</v>
      </c>
      <c r="O996" t="s">
        <v>38</v>
      </c>
      <c r="P996">
        <v>104283</v>
      </c>
      <c r="Q996">
        <v>12.13</v>
      </c>
      <c r="R996">
        <v>0.21</v>
      </c>
      <c r="S996" t="b">
        <v>1</v>
      </c>
      <c r="T996">
        <v>3</v>
      </c>
      <c r="U996">
        <v>16</v>
      </c>
      <c r="V996" t="s">
        <v>0</v>
      </c>
    </row>
    <row r="997" spans="1:22" x14ac:dyDescent="0.25">
      <c r="A997" t="s">
        <v>37</v>
      </c>
      <c r="B997">
        <v>2025</v>
      </c>
      <c r="C997" t="s">
        <v>29</v>
      </c>
      <c r="D997" t="s">
        <v>28</v>
      </c>
      <c r="E997" t="s">
        <v>36</v>
      </c>
      <c r="F997" t="s">
        <v>35</v>
      </c>
      <c r="G997" t="s">
        <v>25</v>
      </c>
      <c r="H997" t="s">
        <v>34</v>
      </c>
      <c r="I997" t="s">
        <v>33</v>
      </c>
      <c r="J997" t="s">
        <v>23</v>
      </c>
      <c r="K997">
        <v>1</v>
      </c>
      <c r="L997" t="s">
        <v>31</v>
      </c>
      <c r="M997">
        <v>0.4</v>
      </c>
      <c r="N997" t="s">
        <v>32</v>
      </c>
      <c r="O997" t="s">
        <v>31</v>
      </c>
      <c r="P997">
        <v>74645</v>
      </c>
      <c r="Q997">
        <v>8.0399999999999991</v>
      </c>
      <c r="R997">
        <v>0.17</v>
      </c>
      <c r="S997" t="b">
        <v>1</v>
      </c>
      <c r="T997">
        <v>2</v>
      </c>
      <c r="U997">
        <v>0</v>
      </c>
      <c r="V997" t="s">
        <v>0</v>
      </c>
    </row>
    <row r="998" spans="1:22" x14ac:dyDescent="0.25">
      <c r="A998" t="s">
        <v>30</v>
      </c>
      <c r="B998">
        <v>2025</v>
      </c>
      <c r="C998" t="s">
        <v>29</v>
      </c>
      <c r="D998" t="s">
        <v>28</v>
      </c>
      <c r="E998" t="s">
        <v>27</v>
      </c>
      <c r="F998" t="s">
        <v>26</v>
      </c>
      <c r="G998" t="s">
        <v>25</v>
      </c>
      <c r="H998" t="s">
        <v>4</v>
      </c>
      <c r="I998" t="s">
        <v>24</v>
      </c>
      <c r="J998" t="s">
        <v>23</v>
      </c>
      <c r="K998">
        <v>1</v>
      </c>
      <c r="L998" t="s">
        <v>21</v>
      </c>
      <c r="M998">
        <v>0.73</v>
      </c>
      <c r="N998" t="s">
        <v>22</v>
      </c>
      <c r="O998" t="s">
        <v>21</v>
      </c>
      <c r="P998">
        <v>61591</v>
      </c>
      <c r="Q998">
        <v>7.95</v>
      </c>
      <c r="R998">
        <v>0.13</v>
      </c>
      <c r="S998" t="b">
        <v>1</v>
      </c>
      <c r="T998">
        <v>1</v>
      </c>
      <c r="U998">
        <v>6</v>
      </c>
      <c r="V998" t="s">
        <v>0</v>
      </c>
    </row>
    <row r="999" spans="1:22" x14ac:dyDescent="0.25">
      <c r="A999" t="s">
        <v>20</v>
      </c>
      <c r="B999">
        <v>2025</v>
      </c>
      <c r="C999" t="s">
        <v>19</v>
      </c>
      <c r="D999" t="s">
        <v>18</v>
      </c>
      <c r="E999" t="s">
        <v>17</v>
      </c>
      <c r="F999" t="s">
        <v>6</v>
      </c>
      <c r="G999" t="s">
        <v>16</v>
      </c>
      <c r="H999" t="s">
        <v>15</v>
      </c>
      <c r="I999" t="s">
        <v>14</v>
      </c>
      <c r="J999" t="s">
        <v>13</v>
      </c>
      <c r="K999">
        <v>1</v>
      </c>
      <c r="L999" t="s">
        <v>11</v>
      </c>
      <c r="M999">
        <v>0.65</v>
      </c>
      <c r="N999" t="s">
        <v>12</v>
      </c>
      <c r="O999" t="s">
        <v>11</v>
      </c>
      <c r="P999">
        <v>108944</v>
      </c>
      <c r="Q999">
        <v>16.22</v>
      </c>
      <c r="R999">
        <v>0.37</v>
      </c>
      <c r="S999" t="b">
        <v>1</v>
      </c>
      <c r="T999">
        <v>3</v>
      </c>
      <c r="U999">
        <v>8</v>
      </c>
      <c r="V999" t="s">
        <v>0</v>
      </c>
    </row>
    <row r="1000" spans="1:22" x14ac:dyDescent="0.25">
      <c r="A1000" t="s">
        <v>10</v>
      </c>
      <c r="B1000">
        <v>2025</v>
      </c>
      <c r="C1000" t="s">
        <v>9</v>
      </c>
      <c r="D1000" t="s">
        <v>8</v>
      </c>
      <c r="E1000" t="s">
        <v>7</v>
      </c>
      <c r="F1000" t="s">
        <v>6</v>
      </c>
      <c r="G1000" t="s">
        <v>5</v>
      </c>
      <c r="H1000" t="s">
        <v>4</v>
      </c>
      <c r="I1000" t="s">
        <v>3</v>
      </c>
      <c r="J1000" t="s">
        <v>2</v>
      </c>
      <c r="K1000">
        <v>0</v>
      </c>
      <c r="M1000">
        <v>0</v>
      </c>
      <c r="N1000" t="s">
        <v>1</v>
      </c>
      <c r="P1000">
        <v>29068</v>
      </c>
      <c r="Q1000">
        <v>-1.02</v>
      </c>
      <c r="R1000">
        <v>0.64</v>
      </c>
      <c r="S1000" t="b">
        <v>0</v>
      </c>
      <c r="T1000">
        <v>1</v>
      </c>
      <c r="U1000">
        <v>5</v>
      </c>
      <c r="V1000" t="s">
        <v>0</v>
      </c>
    </row>
    <row r="1043" spans="1:1" x14ac:dyDescent="0.25">
      <c r="A1043" s="1"/>
    </row>
    <row r="1148" spans="1:1" x14ac:dyDescent="0.25">
      <c r="A1148" s="1"/>
    </row>
    <row r="1155" spans="1:1" x14ac:dyDescent="0.25">
      <c r="A1155" s="1"/>
    </row>
    <row r="1159" spans="1:1" x14ac:dyDescent="0.25">
      <c r="A1159" s="1"/>
    </row>
    <row r="1222" spans="1:1" x14ac:dyDescent="0.25">
      <c r="A1222" s="1"/>
    </row>
    <row r="1318" spans="1:1" x14ac:dyDescent="0.25">
      <c r="A1318" s="1"/>
    </row>
    <row r="1412" spans="1:1" x14ac:dyDescent="0.25">
      <c r="A1412" s="1"/>
    </row>
    <row r="1418" spans="1:1" x14ac:dyDescent="0.25">
      <c r="A1418" s="1"/>
    </row>
    <row r="1475" spans="1:1" x14ac:dyDescent="0.25">
      <c r="A1475" s="1"/>
    </row>
    <row r="1488" spans="1:1" x14ac:dyDescent="0.25">
      <c r="A1488" s="1"/>
    </row>
    <row r="1517" spans="1:1" x14ac:dyDescent="0.25">
      <c r="A1517" s="1"/>
    </row>
    <row r="1605" spans="1:1" x14ac:dyDescent="0.25">
      <c r="A1605" s="1"/>
    </row>
    <row r="1657" spans="1:1" x14ac:dyDescent="0.25">
      <c r="A1657" s="1"/>
    </row>
    <row r="1675" spans="1:1" x14ac:dyDescent="0.25">
      <c r="A1675" s="1"/>
    </row>
    <row r="1676" spans="1:1" x14ac:dyDescent="0.25">
      <c r="A1676" s="1"/>
    </row>
    <row r="1761" spans="1:1" x14ac:dyDescent="0.25">
      <c r="A1761" s="1"/>
    </row>
    <row r="1764" spans="1:1" x14ac:dyDescent="0.25">
      <c r="A1764" s="1"/>
    </row>
    <row r="1779" spans="1:1" x14ac:dyDescent="0.25">
      <c r="A1779" s="1"/>
    </row>
    <row r="1789" spans="1:1" x14ac:dyDescent="0.25">
      <c r="A1789" s="1"/>
    </row>
    <row r="1830" spans="1:1" x14ac:dyDescent="0.25">
      <c r="A1830" s="1"/>
    </row>
    <row r="1838" spans="1:1" x14ac:dyDescent="0.25">
      <c r="A1838" s="1"/>
    </row>
    <row r="1916" spans="1:1" x14ac:dyDescent="0.25">
      <c r="A1916" s="1"/>
    </row>
    <row r="2000" spans="1:1" x14ac:dyDescent="0.25">
      <c r="A2000" s="1"/>
    </row>
    <row r="2020" spans="1:1" x14ac:dyDescent="0.25">
      <c r="A2020" s="1"/>
    </row>
    <row r="2080" spans="1:1" x14ac:dyDescent="0.25">
      <c r="A2080" s="1"/>
    </row>
    <row r="2111" spans="1:1" x14ac:dyDescent="0.25">
      <c r="A2111" s="1"/>
    </row>
    <row r="2171" spans="1:1" x14ac:dyDescent="0.25">
      <c r="A2171" s="1"/>
    </row>
    <row r="2181" spans="1:1" x14ac:dyDescent="0.25">
      <c r="A2181" s="1"/>
    </row>
    <row r="2274" spans="1:1" x14ac:dyDescent="0.25">
      <c r="A2274" s="1"/>
    </row>
    <row r="2346" spans="1:1" x14ac:dyDescent="0.25">
      <c r="A2346" s="1"/>
    </row>
    <row r="2425" spans="1:1" x14ac:dyDescent="0.25">
      <c r="A2425" s="1"/>
    </row>
    <row r="2502" spans="1:1" x14ac:dyDescent="0.25">
      <c r="A2502" s="1"/>
    </row>
    <row r="2608" spans="1:1" x14ac:dyDescent="0.25">
      <c r="A2608" s="1"/>
    </row>
    <row r="2625" spans="1:1" x14ac:dyDescent="0.25">
      <c r="A2625" s="1"/>
    </row>
    <row r="2639" spans="1:1" x14ac:dyDescent="0.25">
      <c r="A2639" s="1"/>
    </row>
    <row r="2769" spans="1:1" x14ac:dyDescent="0.25">
      <c r="A2769" s="1"/>
    </row>
    <row r="2820" spans="1:1" x14ac:dyDescent="0.25">
      <c r="A2820" s="1"/>
    </row>
    <row r="2826" spans="1:1" x14ac:dyDescent="0.25">
      <c r="A2826" s="1"/>
    </row>
    <row r="2913" spans="1:1" x14ac:dyDescent="0.25">
      <c r="A2913" s="1"/>
    </row>
    <row r="3075" spans="1:1" x14ac:dyDescent="0.25">
      <c r="A3075" s="1"/>
    </row>
    <row r="3080" spans="1:1" x14ac:dyDescent="0.25">
      <c r="A3080" s="1"/>
    </row>
    <row r="3200" spans="1:1" x14ac:dyDescent="0.25">
      <c r="A3200" s="1"/>
    </row>
    <row r="3323" spans="1:1" x14ac:dyDescent="0.25">
      <c r="A3323" s="1"/>
    </row>
    <row r="3362" spans="1:1" x14ac:dyDescent="0.25">
      <c r="A3362" s="1"/>
    </row>
    <row r="3383" spans="1:1" x14ac:dyDescent="0.25">
      <c r="A3383" s="1"/>
    </row>
    <row r="3445" spans="1:1" x14ac:dyDescent="0.25">
      <c r="A3445" s="1"/>
    </row>
    <row r="3493" spans="1:1" x14ac:dyDescent="0.25">
      <c r="A3493" s="1"/>
    </row>
    <row r="3499" spans="1:1" x14ac:dyDescent="0.25">
      <c r="A3499" s="1"/>
    </row>
    <row r="3507" spans="1:1" x14ac:dyDescent="0.25">
      <c r="A3507" s="1"/>
    </row>
    <row r="3519" spans="1:1" x14ac:dyDescent="0.25">
      <c r="A3519" s="1"/>
    </row>
    <row r="3598" spans="1:1" x14ac:dyDescent="0.25">
      <c r="A3598" s="1"/>
    </row>
    <row r="3604" spans="1:1" x14ac:dyDescent="0.25">
      <c r="A3604" s="1"/>
    </row>
    <row r="3662" spans="1:1" x14ac:dyDescent="0.25">
      <c r="A3662" s="1"/>
    </row>
    <row r="3669" spans="1:1" x14ac:dyDescent="0.25">
      <c r="A3669" s="1"/>
    </row>
    <row r="3694" spans="1:1" x14ac:dyDescent="0.25">
      <c r="A3694" s="1"/>
    </row>
    <row r="3719" spans="1:1" x14ac:dyDescent="0.25">
      <c r="A3719" s="1"/>
    </row>
    <row r="3739" spans="1:1" x14ac:dyDescent="0.25">
      <c r="A3739" s="1"/>
    </row>
    <row r="3758" spans="1:1" x14ac:dyDescent="0.25">
      <c r="A3758" s="1"/>
    </row>
    <row r="3870" spans="1:1" x14ac:dyDescent="0.25">
      <c r="A3870" s="1"/>
    </row>
    <row r="3978" spans="1:1" x14ac:dyDescent="0.25">
      <c r="A3978" s="1"/>
    </row>
    <row r="3979" spans="1:1" x14ac:dyDescent="0.25">
      <c r="A3979" s="1"/>
    </row>
    <row r="4004" spans="1:1" x14ac:dyDescent="0.25">
      <c r="A4004" s="1"/>
    </row>
    <row r="4042" spans="1:1" x14ac:dyDescent="0.25">
      <c r="A4042" s="1"/>
    </row>
    <row r="4109" spans="1:1" x14ac:dyDescent="0.25">
      <c r="A4109" s="1"/>
    </row>
    <row r="4166" spans="1:1" x14ac:dyDescent="0.25">
      <c r="A4166" s="1"/>
    </row>
    <row r="4170" spans="1:1" x14ac:dyDescent="0.25">
      <c r="A4170" s="1"/>
    </row>
    <row r="4251" spans="1:1" x14ac:dyDescent="0.25">
      <c r="A4251" s="1"/>
    </row>
    <row r="4255" spans="1:1" x14ac:dyDescent="0.25">
      <c r="A4255" s="1"/>
    </row>
    <row r="4363" spans="1:1" x14ac:dyDescent="0.25">
      <c r="A4363" s="1"/>
    </row>
    <row r="4374" spans="1:1" x14ac:dyDescent="0.25">
      <c r="A4374" s="1"/>
    </row>
    <row r="4485" spans="1:1" x14ac:dyDescent="0.25">
      <c r="A4485" s="1"/>
    </row>
    <row r="4497" spans="1:1" x14ac:dyDescent="0.25">
      <c r="A4497" s="1"/>
    </row>
    <row r="4599" spans="1:1" x14ac:dyDescent="0.25">
      <c r="A4599" s="1"/>
    </row>
    <row r="4604" spans="1:1" x14ac:dyDescent="0.25">
      <c r="A4604" s="1"/>
    </row>
    <row r="4619" spans="1:1" x14ac:dyDescent="0.25">
      <c r="A4619" s="1"/>
    </row>
    <row r="4691" spans="1:1" x14ac:dyDescent="0.25">
      <c r="A4691" s="1"/>
    </row>
    <row r="4743" spans="1:1" x14ac:dyDescent="0.25">
      <c r="A4743" s="1"/>
    </row>
    <row r="4834" spans="1:1" x14ac:dyDescent="0.25">
      <c r="A4834" s="1"/>
    </row>
    <row r="4836" spans="1:1" x14ac:dyDescent="0.25">
      <c r="A4836" s="1"/>
    </row>
    <row r="4854" spans="1:1" x14ac:dyDescent="0.25">
      <c r="A4854" s="1"/>
    </row>
    <row r="4889" spans="1:1" x14ac:dyDescent="0.25">
      <c r="A4889" s="1"/>
    </row>
    <row r="4931" spans="1:1" x14ac:dyDescent="0.25">
      <c r="A4931" s="1"/>
    </row>
    <row r="4947" spans="1:1" x14ac:dyDescent="0.25">
      <c r="A4947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EB609-419A-4E4E-87BD-C994F31534B9}">
  <dimension ref="A1:D1000"/>
  <sheetViews>
    <sheetView tabSelected="1" workbookViewId="0">
      <selection activeCell="C37" sqref="C37"/>
    </sheetView>
  </sheetViews>
  <sheetFormatPr defaultRowHeight="15" x14ac:dyDescent="0.25"/>
  <cols>
    <col min="1" max="1" width="16" customWidth="1"/>
    <col min="2" max="4" width="19.85546875" customWidth="1"/>
  </cols>
  <sheetData>
    <row r="1" spans="1:4" x14ac:dyDescent="0.25">
      <c r="A1" s="2" t="s">
        <v>2274</v>
      </c>
      <c r="B1" s="2" t="s">
        <v>2290</v>
      </c>
      <c r="C1" s="2" t="s">
        <v>2293</v>
      </c>
      <c r="D1" s="2" t="s">
        <v>2294</v>
      </c>
    </row>
    <row r="2" spans="1:4" x14ac:dyDescent="0.25">
      <c r="A2">
        <v>31284</v>
      </c>
      <c r="C2">
        <f>'Salary Change'!C2</f>
        <v>-1.1271378303476993</v>
      </c>
      <c r="D2" t="b">
        <f>'Salary Change'!D2=IF(ABS(C2) &gt; 2.5, "Outlier", "Normal")</f>
        <v>1</v>
      </c>
    </row>
    <row r="3" spans="1:4" x14ac:dyDescent="0.25">
      <c r="A3">
        <v>60960</v>
      </c>
      <c r="C3">
        <f t="shared" ref="C3:C66" si="0">(A3 - $B$5) / $B$7</f>
        <v>-7.3650156388262666E-2</v>
      </c>
      <c r="D3" t="str">
        <f t="shared" ref="D3:D65" si="1">IF(ABS(C3) &gt; 2.5, "Outlier", "Normal")</f>
        <v>Normal</v>
      </c>
    </row>
    <row r="4" spans="1:4" x14ac:dyDescent="0.25">
      <c r="A4">
        <v>21791</v>
      </c>
      <c r="B4" s="3" t="s">
        <v>2291</v>
      </c>
      <c r="C4">
        <f t="shared" si="0"/>
        <v>-1.3243507867455164</v>
      </c>
      <c r="D4" t="str">
        <f t="shared" si="1"/>
        <v>Normal</v>
      </c>
    </row>
    <row r="5" spans="1:4" x14ac:dyDescent="0.25">
      <c r="A5">
        <v>31890</v>
      </c>
      <c r="B5">
        <f>AVERAGE(A2:A1000)</f>
        <v>63266.549549549549</v>
      </c>
      <c r="C5">
        <f t="shared" si="0"/>
        <v>-1.0018808317816954</v>
      </c>
      <c r="D5" t="str">
        <f t="shared" si="1"/>
        <v>Normal</v>
      </c>
    </row>
    <row r="6" spans="1:4" x14ac:dyDescent="0.25">
      <c r="A6">
        <v>22997</v>
      </c>
      <c r="B6" s="3" t="s">
        <v>2292</v>
      </c>
      <c r="C6">
        <f t="shared" si="0"/>
        <v>-1.2858421457230025</v>
      </c>
      <c r="D6" t="str">
        <f t="shared" si="1"/>
        <v>Normal</v>
      </c>
    </row>
    <row r="7" spans="1:4" x14ac:dyDescent="0.25">
      <c r="A7">
        <v>65776</v>
      </c>
      <c r="B7">
        <f>_xlfn.STDEV.P(A1:A1000)</f>
        <v>31317.646325013568</v>
      </c>
      <c r="C7">
        <f t="shared" si="0"/>
        <v>8.0128960663501073E-2</v>
      </c>
      <c r="D7" t="str">
        <f t="shared" si="1"/>
        <v>Normal</v>
      </c>
    </row>
    <row r="8" spans="1:4" x14ac:dyDescent="0.25">
      <c r="A8">
        <v>22406</v>
      </c>
      <c r="C8">
        <f t="shared" si="0"/>
        <v>-1.3047132956768215</v>
      </c>
      <c r="D8" t="str">
        <f t="shared" si="1"/>
        <v>Normal</v>
      </c>
    </row>
    <row r="9" spans="1:4" x14ac:dyDescent="0.25">
      <c r="A9">
        <v>33771</v>
      </c>
      <c r="C9">
        <f t="shared" si="0"/>
        <v>-0.94181884690329676</v>
      </c>
      <c r="D9" t="str">
        <f t="shared" si="1"/>
        <v>Normal</v>
      </c>
    </row>
    <row r="10" spans="1:4" x14ac:dyDescent="0.25">
      <c r="A10">
        <v>19577</v>
      </c>
      <c r="C10">
        <f t="shared" si="0"/>
        <v>-1.3950457545928181</v>
      </c>
      <c r="D10" t="str">
        <f t="shared" si="1"/>
        <v>Normal</v>
      </c>
    </row>
    <row r="11" spans="1:4" x14ac:dyDescent="0.25">
      <c r="A11">
        <v>66649</v>
      </c>
      <c r="C11">
        <f t="shared" si="0"/>
        <v>0.10800461871711191</v>
      </c>
      <c r="D11" t="str">
        <f t="shared" si="1"/>
        <v>Normal</v>
      </c>
    </row>
    <row r="12" spans="1:4" x14ac:dyDescent="0.25">
      <c r="A12">
        <v>63813</v>
      </c>
      <c r="C12">
        <f t="shared" si="0"/>
        <v>1.7448643642609833E-2</v>
      </c>
      <c r="D12" t="str">
        <f t="shared" si="1"/>
        <v>Normal</v>
      </c>
    </row>
    <row r="13" spans="1:4" x14ac:dyDescent="0.25">
      <c r="A13">
        <v>20676</v>
      </c>
      <c r="C13">
        <f t="shared" si="0"/>
        <v>-1.3599537177074592</v>
      </c>
      <c r="D13" t="str">
        <f t="shared" si="1"/>
        <v>Normal</v>
      </c>
    </row>
    <row r="14" spans="1:4" x14ac:dyDescent="0.25">
      <c r="A14">
        <v>29851</v>
      </c>
      <c r="C14">
        <f t="shared" si="0"/>
        <v>-1.0669878956663603</v>
      </c>
      <c r="D14" t="str">
        <f t="shared" si="1"/>
        <v>Normal</v>
      </c>
    </row>
    <row r="15" spans="1:4" x14ac:dyDescent="0.25">
      <c r="A15">
        <v>87947</v>
      </c>
      <c r="C15">
        <f t="shared" si="0"/>
        <v>0.78806849640989929</v>
      </c>
      <c r="D15" t="str">
        <f t="shared" si="1"/>
        <v>Normal</v>
      </c>
    </row>
    <row r="16" spans="1:4" x14ac:dyDescent="0.25">
      <c r="A16">
        <v>30828</v>
      </c>
      <c r="C16">
        <f t="shared" si="0"/>
        <v>-1.0357914261149539</v>
      </c>
      <c r="D16" t="str">
        <f t="shared" si="1"/>
        <v>Normal</v>
      </c>
    </row>
    <row r="17" spans="1:4" x14ac:dyDescent="0.25">
      <c r="A17">
        <v>63343</v>
      </c>
      <c r="C17">
        <f t="shared" si="0"/>
        <v>2.4411301429568097E-3</v>
      </c>
      <c r="D17" t="str">
        <f t="shared" si="1"/>
        <v>Normal</v>
      </c>
    </row>
    <row r="18" spans="1:4" x14ac:dyDescent="0.25">
      <c r="A18">
        <v>74564</v>
      </c>
      <c r="C18">
        <f t="shared" si="0"/>
        <v>0.3607375322272261</v>
      </c>
      <c r="D18" t="str">
        <f t="shared" si="1"/>
        <v>Normal</v>
      </c>
    </row>
    <row r="19" spans="1:4" x14ac:dyDescent="0.25">
      <c r="A19">
        <v>19290</v>
      </c>
      <c r="C19">
        <f t="shared" si="0"/>
        <v>-1.4042099170915423</v>
      </c>
      <c r="D19" t="str">
        <f t="shared" si="1"/>
        <v>Normal</v>
      </c>
    </row>
    <row r="20" spans="1:4" x14ac:dyDescent="0.25">
      <c r="A20">
        <v>53320</v>
      </c>
      <c r="C20">
        <f t="shared" si="0"/>
        <v>-0.31760207795709056</v>
      </c>
      <c r="D20" t="str">
        <f t="shared" si="1"/>
        <v>Normal</v>
      </c>
    </row>
    <row r="21" spans="1:4" x14ac:dyDescent="0.25">
      <c r="A21">
        <v>33051</v>
      </c>
      <c r="C21">
        <f t="shared" si="0"/>
        <v>-0.9648090803495738</v>
      </c>
      <c r="D21" t="str">
        <f t="shared" si="1"/>
        <v>Normal</v>
      </c>
    </row>
    <row r="22" spans="1:4" x14ac:dyDescent="0.25">
      <c r="A22">
        <v>51175</v>
      </c>
      <c r="C22">
        <f t="shared" si="0"/>
        <v>-0.38609381509912399</v>
      </c>
      <c r="D22" t="str">
        <f t="shared" si="1"/>
        <v>Normal</v>
      </c>
    </row>
    <row r="23" spans="1:4" x14ac:dyDescent="0.25">
      <c r="A23">
        <v>21195</v>
      </c>
      <c r="C23">
        <f t="shared" si="0"/>
        <v>-1.3433815910982678</v>
      </c>
      <c r="D23" t="str">
        <f t="shared" si="1"/>
        <v>Normal</v>
      </c>
    </row>
    <row r="24" spans="1:4" x14ac:dyDescent="0.25">
      <c r="A24">
        <v>79308</v>
      </c>
      <c r="C24">
        <f t="shared" si="0"/>
        <v>0.51221762593436215</v>
      </c>
      <c r="D24" t="str">
        <f t="shared" si="1"/>
        <v>Normal</v>
      </c>
    </row>
    <row r="25" spans="1:4" x14ac:dyDescent="0.25">
      <c r="A25">
        <v>67162</v>
      </c>
      <c r="C25">
        <f t="shared" si="0"/>
        <v>0.12438516004758425</v>
      </c>
      <c r="D25" t="str">
        <f t="shared" si="1"/>
        <v>Normal</v>
      </c>
    </row>
    <row r="26" spans="1:4" x14ac:dyDescent="0.25">
      <c r="A26">
        <v>26698</v>
      </c>
      <c r="C26">
        <f t="shared" si="0"/>
        <v>-1.1676659596331815</v>
      </c>
      <c r="D26" t="str">
        <f t="shared" si="1"/>
        <v>Normal</v>
      </c>
    </row>
    <row r="27" spans="1:4" x14ac:dyDescent="0.25">
      <c r="A27">
        <v>28203</v>
      </c>
      <c r="C27">
        <f t="shared" si="0"/>
        <v>-1.1196099855545054</v>
      </c>
      <c r="D27" t="str">
        <f t="shared" si="1"/>
        <v>Normal</v>
      </c>
    </row>
    <row r="28" spans="1:4" x14ac:dyDescent="0.25">
      <c r="A28">
        <v>46467</v>
      </c>
      <c r="C28">
        <f t="shared" si="0"/>
        <v>-0.53642439713394618</v>
      </c>
      <c r="D28" t="str">
        <f t="shared" si="1"/>
        <v>Normal</v>
      </c>
    </row>
    <row r="29" spans="1:4" x14ac:dyDescent="0.25">
      <c r="A29">
        <v>69442</v>
      </c>
      <c r="C29">
        <f t="shared" si="0"/>
        <v>0.19718756596079465</v>
      </c>
      <c r="D29" t="str">
        <f t="shared" si="1"/>
        <v>Normal</v>
      </c>
    </row>
    <row r="30" spans="1:4" x14ac:dyDescent="0.25">
      <c r="A30">
        <v>63731</v>
      </c>
      <c r="C30">
        <f t="shared" si="0"/>
        <v>1.4830311500117177E-2</v>
      </c>
      <c r="D30" t="str">
        <f t="shared" si="1"/>
        <v>Normal</v>
      </c>
    </row>
    <row r="31" spans="1:4" x14ac:dyDescent="0.25">
      <c r="A31">
        <v>18127</v>
      </c>
      <c r="C31">
        <f t="shared" si="0"/>
        <v>-1.441345530283237</v>
      </c>
      <c r="D31" t="str">
        <f t="shared" si="1"/>
        <v>Normal</v>
      </c>
    </row>
    <row r="32" spans="1:4" x14ac:dyDescent="0.25">
      <c r="A32">
        <v>51548</v>
      </c>
      <c r="C32">
        <f t="shared" si="0"/>
        <v>-0.37418359693876108</v>
      </c>
      <c r="D32" t="str">
        <f t="shared" si="1"/>
        <v>Normal</v>
      </c>
    </row>
    <row r="33" spans="1:4" x14ac:dyDescent="0.25">
      <c r="A33">
        <v>51928</v>
      </c>
      <c r="C33">
        <f t="shared" si="0"/>
        <v>-0.36204986261989269</v>
      </c>
      <c r="D33" t="str">
        <f t="shared" si="1"/>
        <v>Normal</v>
      </c>
    </row>
    <row r="34" spans="1:4" x14ac:dyDescent="0.25">
      <c r="A34">
        <v>33399</v>
      </c>
      <c r="C34">
        <f t="shared" si="0"/>
        <v>-0.95369713418387325</v>
      </c>
      <c r="D34" t="str">
        <f t="shared" si="1"/>
        <v>Normal</v>
      </c>
    </row>
    <row r="35" spans="1:4" x14ac:dyDescent="0.25">
      <c r="A35">
        <v>78508</v>
      </c>
      <c r="C35">
        <f t="shared" si="0"/>
        <v>0.4866729221051655</v>
      </c>
      <c r="D35" t="str">
        <f t="shared" si="1"/>
        <v>Normal</v>
      </c>
    </row>
    <row r="36" spans="1:4" x14ac:dyDescent="0.25">
      <c r="A36">
        <v>22122</v>
      </c>
      <c r="C36">
        <f t="shared" si="0"/>
        <v>-1.3137816655361862</v>
      </c>
      <c r="D36" t="str">
        <f t="shared" si="1"/>
        <v>Normal</v>
      </c>
    </row>
    <row r="37" spans="1:4" x14ac:dyDescent="0.25">
      <c r="A37">
        <v>16089</v>
      </c>
      <c r="C37">
        <f t="shared" si="0"/>
        <v>-1.5064206632881154</v>
      </c>
      <c r="D37" t="str">
        <f t="shared" si="1"/>
        <v>Normal</v>
      </c>
    </row>
    <row r="38" spans="1:4" x14ac:dyDescent="0.25">
      <c r="A38">
        <v>79382</v>
      </c>
      <c r="C38">
        <f t="shared" si="0"/>
        <v>0.51458051103856284</v>
      </c>
      <c r="D38" t="str">
        <f t="shared" si="1"/>
        <v>Normal</v>
      </c>
    </row>
    <row r="39" spans="1:4" x14ac:dyDescent="0.25">
      <c r="A39">
        <v>62849</v>
      </c>
      <c r="C39">
        <f t="shared" si="0"/>
        <v>-1.3332724471572112E-2</v>
      </c>
      <c r="D39" t="str">
        <f t="shared" si="1"/>
        <v>Normal</v>
      </c>
    </row>
    <row r="40" spans="1:4" x14ac:dyDescent="0.25">
      <c r="A40">
        <v>27995</v>
      </c>
      <c r="C40">
        <f t="shared" si="0"/>
        <v>-1.1262516085500964</v>
      </c>
      <c r="D40" t="str">
        <f t="shared" si="1"/>
        <v>Normal</v>
      </c>
    </row>
    <row r="41" spans="1:4" x14ac:dyDescent="0.25">
      <c r="A41">
        <v>65925</v>
      </c>
      <c r="C41">
        <f t="shared" si="0"/>
        <v>8.4886661751688949E-2</v>
      </c>
      <c r="D41" t="str">
        <f t="shared" si="1"/>
        <v>Normal</v>
      </c>
    </row>
    <row r="42" spans="1:4" x14ac:dyDescent="0.25">
      <c r="A42">
        <v>17654</v>
      </c>
      <c r="C42">
        <f t="shared" si="0"/>
        <v>-1.4564488364222494</v>
      </c>
      <c r="D42" t="str">
        <f t="shared" si="1"/>
        <v>Normal</v>
      </c>
    </row>
    <row r="43" spans="1:4" x14ac:dyDescent="0.25">
      <c r="A43">
        <v>60482</v>
      </c>
      <c r="C43">
        <f t="shared" si="0"/>
        <v>-8.8913116926207653E-2</v>
      </c>
      <c r="D43" t="str">
        <f t="shared" si="1"/>
        <v>Normal</v>
      </c>
    </row>
    <row r="44" spans="1:4" x14ac:dyDescent="0.25">
      <c r="A44">
        <v>59976</v>
      </c>
      <c r="C44">
        <f t="shared" si="0"/>
        <v>-0.10507014209817453</v>
      </c>
      <c r="D44" t="str">
        <f t="shared" si="1"/>
        <v>Normal</v>
      </c>
    </row>
    <row r="45" spans="1:4" x14ac:dyDescent="0.25">
      <c r="A45">
        <v>66621</v>
      </c>
      <c r="C45">
        <f t="shared" si="0"/>
        <v>0.10711055408309002</v>
      </c>
      <c r="D45" t="str">
        <f t="shared" si="1"/>
        <v>Normal</v>
      </c>
    </row>
    <row r="46" spans="1:4" x14ac:dyDescent="0.25">
      <c r="A46">
        <v>16927</v>
      </c>
      <c r="C46">
        <f t="shared" si="0"/>
        <v>-1.479662586027032</v>
      </c>
      <c r="D46" t="str">
        <f t="shared" si="1"/>
        <v>Normal</v>
      </c>
    </row>
    <row r="47" spans="1:4" x14ac:dyDescent="0.25">
      <c r="A47">
        <v>75229</v>
      </c>
      <c r="C47">
        <f t="shared" si="0"/>
        <v>0.38197156728524584</v>
      </c>
      <c r="D47" t="str">
        <f t="shared" si="1"/>
        <v>Normal</v>
      </c>
    </row>
    <row r="48" spans="1:4" x14ac:dyDescent="0.25">
      <c r="A48">
        <v>39367</v>
      </c>
      <c r="C48">
        <f t="shared" si="0"/>
        <v>-0.76313364361806635</v>
      </c>
      <c r="D48" t="str">
        <f t="shared" si="1"/>
        <v>Normal</v>
      </c>
    </row>
    <row r="49" spans="1:4" x14ac:dyDescent="0.25">
      <c r="A49">
        <v>15834</v>
      </c>
      <c r="C49">
        <f t="shared" si="0"/>
        <v>-1.5145630376336718</v>
      </c>
      <c r="D49" t="str">
        <f t="shared" si="1"/>
        <v>Normal</v>
      </c>
    </row>
    <row r="50" spans="1:4" x14ac:dyDescent="0.25">
      <c r="A50">
        <v>20584</v>
      </c>
      <c r="C50">
        <f t="shared" si="0"/>
        <v>-1.3628913586478169</v>
      </c>
      <c r="D50" t="str">
        <f t="shared" si="1"/>
        <v>Normal</v>
      </c>
    </row>
    <row r="51" spans="1:4" x14ac:dyDescent="0.25">
      <c r="A51">
        <v>73040</v>
      </c>
      <c r="C51">
        <f t="shared" si="0"/>
        <v>0.31207487143260654</v>
      </c>
      <c r="D51" t="str">
        <f t="shared" si="1"/>
        <v>Normal</v>
      </c>
    </row>
    <row r="52" spans="1:4" x14ac:dyDescent="0.25">
      <c r="A52">
        <v>59813</v>
      </c>
      <c r="C52">
        <f t="shared" si="0"/>
        <v>-0.11027487550337334</v>
      </c>
      <c r="D52" t="str">
        <f t="shared" si="1"/>
        <v>Normal</v>
      </c>
    </row>
    <row r="53" spans="1:4" x14ac:dyDescent="0.25">
      <c r="A53">
        <v>51488</v>
      </c>
      <c r="C53">
        <f t="shared" si="0"/>
        <v>-0.37609944972595083</v>
      </c>
      <c r="D53" t="str">
        <f t="shared" si="1"/>
        <v>Normal</v>
      </c>
    </row>
    <row r="54" spans="1:4" x14ac:dyDescent="0.25">
      <c r="A54">
        <v>49995</v>
      </c>
      <c r="C54">
        <f t="shared" si="0"/>
        <v>-0.42377225324718903</v>
      </c>
      <c r="D54" t="str">
        <f t="shared" si="1"/>
        <v>Normal</v>
      </c>
    </row>
    <row r="55" spans="1:4" x14ac:dyDescent="0.25">
      <c r="A55">
        <v>51565</v>
      </c>
      <c r="C55">
        <f t="shared" si="0"/>
        <v>-0.37364077198239065</v>
      </c>
      <c r="D55" t="str">
        <f t="shared" si="1"/>
        <v>Normal</v>
      </c>
    </row>
    <row r="56" spans="1:4" x14ac:dyDescent="0.25">
      <c r="A56">
        <v>18055</v>
      </c>
      <c r="C56">
        <f t="shared" si="0"/>
        <v>-1.4436445536278646</v>
      </c>
      <c r="D56" t="str">
        <f t="shared" si="1"/>
        <v>Normal</v>
      </c>
    </row>
    <row r="57" spans="1:4" x14ac:dyDescent="0.25">
      <c r="A57">
        <v>33483</v>
      </c>
      <c r="C57">
        <f t="shared" si="0"/>
        <v>-0.95101494028180755</v>
      </c>
      <c r="D57" t="str">
        <f t="shared" si="1"/>
        <v>Normal</v>
      </c>
    </row>
    <row r="58" spans="1:4" x14ac:dyDescent="0.25">
      <c r="A58">
        <v>76155</v>
      </c>
      <c r="C58">
        <f t="shared" si="0"/>
        <v>0.41153956196754093</v>
      </c>
      <c r="D58" t="str">
        <f t="shared" si="1"/>
        <v>Normal</v>
      </c>
    </row>
    <row r="59" spans="1:4" x14ac:dyDescent="0.25">
      <c r="A59">
        <v>73953</v>
      </c>
      <c r="C59">
        <f t="shared" si="0"/>
        <v>0.34122776467767718</v>
      </c>
      <c r="D59" t="str">
        <f t="shared" si="1"/>
        <v>Normal</v>
      </c>
    </row>
    <row r="60" spans="1:4" x14ac:dyDescent="0.25">
      <c r="A60">
        <v>75382</v>
      </c>
      <c r="C60">
        <f t="shared" si="0"/>
        <v>0.38685699189257966</v>
      </c>
      <c r="D60" t="str">
        <f t="shared" si="1"/>
        <v>Normal</v>
      </c>
    </row>
    <row r="61" spans="1:4" x14ac:dyDescent="0.25">
      <c r="A61">
        <v>22641</v>
      </c>
      <c r="C61">
        <f t="shared" si="0"/>
        <v>-1.2972095389269951</v>
      </c>
      <c r="D61" t="str">
        <f t="shared" si="1"/>
        <v>Normal</v>
      </c>
    </row>
    <row r="62" spans="1:4" x14ac:dyDescent="0.25">
      <c r="A62">
        <v>57554</v>
      </c>
      <c r="C62">
        <f t="shared" si="0"/>
        <v>-0.18240673294106735</v>
      </c>
      <c r="D62" t="str">
        <f t="shared" si="1"/>
        <v>Normal</v>
      </c>
    </row>
    <row r="63" spans="1:4" x14ac:dyDescent="0.25">
      <c r="A63">
        <v>56978</v>
      </c>
      <c r="C63">
        <f t="shared" si="0"/>
        <v>-0.20079891969808891</v>
      </c>
      <c r="D63" t="str">
        <f t="shared" si="1"/>
        <v>Normal</v>
      </c>
    </row>
    <row r="64" spans="1:4" x14ac:dyDescent="0.25">
      <c r="A64">
        <v>75313</v>
      </c>
      <c r="C64">
        <f t="shared" si="0"/>
        <v>0.38465376118731148</v>
      </c>
      <c r="D64" t="str">
        <f t="shared" si="1"/>
        <v>Normal</v>
      </c>
    </row>
    <row r="65" spans="1:4" x14ac:dyDescent="0.25">
      <c r="A65">
        <v>50011</v>
      </c>
      <c r="C65">
        <f t="shared" si="0"/>
        <v>-0.42326135917060509</v>
      </c>
      <c r="D65" t="str">
        <f t="shared" si="1"/>
        <v>Normal</v>
      </c>
    </row>
    <row r="66" spans="1:4" x14ac:dyDescent="0.25">
      <c r="A66">
        <v>23406</v>
      </c>
      <c r="C66">
        <f t="shared" si="0"/>
        <v>-1.2727824158903256</v>
      </c>
      <c r="D66" t="str">
        <f t="shared" ref="D66:D129" si="2">IF(ABS(C66) &gt; 2.5, "Outlier", "Normal")</f>
        <v>Normal</v>
      </c>
    </row>
    <row r="67" spans="1:4" x14ac:dyDescent="0.25">
      <c r="A67">
        <v>72210</v>
      </c>
      <c r="C67">
        <f t="shared" ref="C67:C130" si="3">(A67 - $B$5) / $B$7</f>
        <v>0.285572241209815</v>
      </c>
      <c r="D67" t="str">
        <f t="shared" si="2"/>
        <v>Normal</v>
      </c>
    </row>
    <row r="68" spans="1:4" x14ac:dyDescent="0.25">
      <c r="A68">
        <v>17960</v>
      </c>
      <c r="C68">
        <f t="shared" si="3"/>
        <v>-1.4466779872075819</v>
      </c>
      <c r="D68" t="str">
        <f t="shared" si="2"/>
        <v>Normal</v>
      </c>
    </row>
    <row r="69" spans="1:4" x14ac:dyDescent="0.25">
      <c r="A69">
        <v>56175</v>
      </c>
      <c r="C69">
        <f t="shared" si="3"/>
        <v>-0.22643941616664504</v>
      </c>
      <c r="D69" t="str">
        <f t="shared" si="2"/>
        <v>Normal</v>
      </c>
    </row>
    <row r="70" spans="1:4" x14ac:dyDescent="0.25">
      <c r="A70">
        <v>66281</v>
      </c>
      <c r="C70">
        <f t="shared" si="3"/>
        <v>9.6254054955681456E-2</v>
      </c>
      <c r="D70" t="str">
        <f t="shared" si="2"/>
        <v>Normal</v>
      </c>
    </row>
    <row r="71" spans="1:4" x14ac:dyDescent="0.25">
      <c r="A71">
        <v>66036</v>
      </c>
      <c r="C71">
        <f t="shared" si="3"/>
        <v>8.8430989407989977E-2</v>
      </c>
      <c r="D71" t="str">
        <f t="shared" si="2"/>
        <v>Normal</v>
      </c>
    </row>
    <row r="72" spans="1:4" x14ac:dyDescent="0.25">
      <c r="A72">
        <v>17772</v>
      </c>
      <c r="C72">
        <f t="shared" si="3"/>
        <v>-1.4526809926074431</v>
      </c>
      <c r="D72" t="str">
        <f t="shared" si="2"/>
        <v>Normal</v>
      </c>
    </row>
    <row r="73" spans="1:4" x14ac:dyDescent="0.25">
      <c r="A73">
        <v>50703</v>
      </c>
      <c r="C73">
        <f t="shared" si="3"/>
        <v>-0.40116519035835002</v>
      </c>
      <c r="D73" t="str">
        <f t="shared" si="2"/>
        <v>Normal</v>
      </c>
    </row>
    <row r="74" spans="1:4" x14ac:dyDescent="0.25">
      <c r="A74">
        <v>21249</v>
      </c>
      <c r="C74">
        <f t="shared" si="3"/>
        <v>-1.3416573235897971</v>
      </c>
      <c r="D74" t="str">
        <f t="shared" si="2"/>
        <v>Normal</v>
      </c>
    </row>
    <row r="75" spans="1:4" x14ac:dyDescent="0.25">
      <c r="A75">
        <v>59035</v>
      </c>
      <c r="C75">
        <f t="shared" si="3"/>
        <v>-0.13511709997726706</v>
      </c>
      <c r="D75" t="str">
        <f t="shared" si="2"/>
        <v>Normal</v>
      </c>
    </row>
    <row r="76" spans="1:4" x14ac:dyDescent="0.25">
      <c r="A76">
        <v>38033</v>
      </c>
      <c r="C76">
        <f t="shared" si="3"/>
        <v>-0.80572943725325175</v>
      </c>
      <c r="D76" t="str">
        <f t="shared" si="2"/>
        <v>Normal</v>
      </c>
    </row>
    <row r="77" spans="1:4" x14ac:dyDescent="0.25">
      <c r="A77">
        <v>58561</v>
      </c>
      <c r="C77">
        <f t="shared" si="3"/>
        <v>-0.15025233699606608</v>
      </c>
      <c r="D77" t="str">
        <f t="shared" si="2"/>
        <v>Normal</v>
      </c>
    </row>
    <row r="78" spans="1:4" x14ac:dyDescent="0.25">
      <c r="A78">
        <v>53646</v>
      </c>
      <c r="C78">
        <f t="shared" si="3"/>
        <v>-0.30719261114669288</v>
      </c>
      <c r="D78" t="str">
        <f t="shared" si="2"/>
        <v>Normal</v>
      </c>
    </row>
    <row r="79" spans="1:4" x14ac:dyDescent="0.25">
      <c r="A79">
        <v>69086</v>
      </c>
      <c r="C79">
        <f t="shared" si="3"/>
        <v>0.18582017275680215</v>
      </c>
      <c r="D79" t="str">
        <f t="shared" si="2"/>
        <v>Normal</v>
      </c>
    </row>
    <row r="80" spans="1:4" x14ac:dyDescent="0.25">
      <c r="A80">
        <v>61248</v>
      </c>
      <c r="C80">
        <f t="shared" si="3"/>
        <v>-6.4454063009751872E-2</v>
      </c>
      <c r="D80" t="str">
        <f t="shared" si="2"/>
        <v>Normal</v>
      </c>
    </row>
    <row r="81" spans="1:4" x14ac:dyDescent="0.25">
      <c r="A81">
        <v>32863</v>
      </c>
      <c r="C81">
        <f t="shared" si="3"/>
        <v>-0.97081208574943501</v>
      </c>
      <c r="D81" t="str">
        <f t="shared" si="2"/>
        <v>Normal</v>
      </c>
    </row>
    <row r="82" spans="1:4" x14ac:dyDescent="0.25">
      <c r="A82">
        <v>20310</v>
      </c>
      <c r="C82">
        <f t="shared" si="3"/>
        <v>-1.3716404197093166</v>
      </c>
      <c r="D82" t="str">
        <f t="shared" si="2"/>
        <v>Normal</v>
      </c>
    </row>
    <row r="83" spans="1:4" x14ac:dyDescent="0.25">
      <c r="A83">
        <v>59251</v>
      </c>
      <c r="C83">
        <f t="shared" si="3"/>
        <v>-0.12822002994338397</v>
      </c>
      <c r="D83" t="str">
        <f t="shared" si="2"/>
        <v>Normal</v>
      </c>
    </row>
    <row r="84" spans="1:4" x14ac:dyDescent="0.25">
      <c r="A84">
        <v>31354</v>
      </c>
      <c r="C84">
        <f t="shared" si="3"/>
        <v>-1.0189957833472572</v>
      </c>
      <c r="D84" t="str">
        <f t="shared" si="2"/>
        <v>Normal</v>
      </c>
    </row>
    <row r="85" spans="1:4" x14ac:dyDescent="0.25">
      <c r="A85">
        <v>33799</v>
      </c>
      <c r="C85">
        <f t="shared" si="3"/>
        <v>-0.9409247822692749</v>
      </c>
      <c r="D85" t="str">
        <f t="shared" si="2"/>
        <v>Normal</v>
      </c>
    </row>
    <row r="86" spans="1:4" x14ac:dyDescent="0.25">
      <c r="A86">
        <v>64299</v>
      </c>
      <c r="C86">
        <f t="shared" si="3"/>
        <v>3.2967051218846785E-2</v>
      </c>
      <c r="D86" t="str">
        <f t="shared" si="2"/>
        <v>Normal</v>
      </c>
    </row>
    <row r="87" spans="1:4" x14ac:dyDescent="0.25">
      <c r="A87">
        <v>64857</v>
      </c>
      <c r="C87">
        <f t="shared" si="3"/>
        <v>5.0784482139711443E-2</v>
      </c>
      <c r="D87" t="str">
        <f t="shared" si="2"/>
        <v>Normal</v>
      </c>
    </row>
    <row r="88" spans="1:4" x14ac:dyDescent="0.25">
      <c r="A88">
        <v>69995</v>
      </c>
      <c r="C88">
        <f t="shared" si="3"/>
        <v>0.21484534248272683</v>
      </c>
      <c r="D88" t="str">
        <f t="shared" si="2"/>
        <v>Normal</v>
      </c>
    </row>
    <row r="89" spans="1:4" x14ac:dyDescent="0.25">
      <c r="A89">
        <v>34470</v>
      </c>
      <c r="C89">
        <f t="shared" si="3"/>
        <v>-0.91949916193253622</v>
      </c>
      <c r="D89" t="str">
        <f t="shared" si="2"/>
        <v>Normal</v>
      </c>
    </row>
    <row r="90" spans="1:4" x14ac:dyDescent="0.25">
      <c r="A90">
        <v>47073</v>
      </c>
      <c r="C90">
        <f t="shared" si="3"/>
        <v>-0.51707428398332977</v>
      </c>
      <c r="D90" t="str">
        <f t="shared" si="2"/>
        <v>Normal</v>
      </c>
    </row>
    <row r="91" spans="1:4" x14ac:dyDescent="0.25">
      <c r="A91">
        <v>33091</v>
      </c>
      <c r="C91">
        <f t="shared" si="3"/>
        <v>-0.96353184515811396</v>
      </c>
      <c r="D91" t="str">
        <f t="shared" si="2"/>
        <v>Normal</v>
      </c>
    </row>
    <row r="92" spans="1:4" x14ac:dyDescent="0.25">
      <c r="A92">
        <v>59057</v>
      </c>
      <c r="C92">
        <f t="shared" si="3"/>
        <v>-0.13441462062196416</v>
      </c>
      <c r="D92" t="str">
        <f t="shared" si="2"/>
        <v>Normal</v>
      </c>
    </row>
    <row r="93" spans="1:4" x14ac:dyDescent="0.25">
      <c r="A93">
        <v>34168</v>
      </c>
      <c r="C93">
        <f t="shared" si="3"/>
        <v>-0.92914228762805795</v>
      </c>
      <c r="D93" t="str">
        <f t="shared" si="2"/>
        <v>Normal</v>
      </c>
    </row>
    <row r="94" spans="1:4" x14ac:dyDescent="0.25">
      <c r="A94">
        <v>51787</v>
      </c>
      <c r="C94">
        <f t="shared" si="3"/>
        <v>-0.3665521166697886</v>
      </c>
      <c r="D94" t="str">
        <f t="shared" si="2"/>
        <v>Normal</v>
      </c>
    </row>
    <row r="95" spans="1:4" x14ac:dyDescent="0.25">
      <c r="A95">
        <v>57036</v>
      </c>
      <c r="C95">
        <f t="shared" si="3"/>
        <v>-0.19894692867047217</v>
      </c>
      <c r="D95" t="str">
        <f t="shared" si="2"/>
        <v>Normal</v>
      </c>
    </row>
    <row r="96" spans="1:4" x14ac:dyDescent="0.25">
      <c r="A96">
        <v>57960</v>
      </c>
      <c r="C96">
        <f t="shared" si="3"/>
        <v>-0.16944279574775004</v>
      </c>
      <c r="D96" t="str">
        <f t="shared" si="2"/>
        <v>Normal</v>
      </c>
    </row>
    <row r="97" spans="1:4" x14ac:dyDescent="0.25">
      <c r="A97">
        <v>88037</v>
      </c>
      <c r="C97">
        <f t="shared" si="3"/>
        <v>0.79094227559068397</v>
      </c>
      <c r="D97" t="str">
        <f t="shared" si="2"/>
        <v>Normal</v>
      </c>
    </row>
    <row r="98" spans="1:4" x14ac:dyDescent="0.25">
      <c r="A98">
        <v>37938</v>
      </c>
      <c r="C98">
        <f t="shared" si="3"/>
        <v>-0.80876287083296883</v>
      </c>
      <c r="D98" t="str">
        <f t="shared" si="2"/>
        <v>Normal</v>
      </c>
    </row>
    <row r="99" spans="1:4" x14ac:dyDescent="0.25">
      <c r="A99">
        <v>73910</v>
      </c>
      <c r="C99">
        <f t="shared" si="3"/>
        <v>0.33985473684685785</v>
      </c>
      <c r="D99" t="str">
        <f t="shared" si="2"/>
        <v>Normal</v>
      </c>
    </row>
    <row r="100" spans="1:4" x14ac:dyDescent="0.25">
      <c r="A100">
        <v>32359</v>
      </c>
      <c r="C100">
        <f t="shared" si="3"/>
        <v>-0.98690524916182887</v>
      </c>
      <c r="D100" t="str">
        <f t="shared" si="2"/>
        <v>Normal</v>
      </c>
    </row>
    <row r="101" spans="1:4" x14ac:dyDescent="0.25">
      <c r="A101">
        <v>70884</v>
      </c>
      <c r="C101">
        <f t="shared" si="3"/>
        <v>0.24323189461292158</v>
      </c>
      <c r="D101" t="str">
        <f t="shared" si="2"/>
        <v>Normal</v>
      </c>
    </row>
    <row r="102" spans="1:4" x14ac:dyDescent="0.25">
      <c r="A102">
        <v>58385</v>
      </c>
      <c r="C102">
        <f t="shared" si="3"/>
        <v>-0.15587217183848934</v>
      </c>
      <c r="D102" t="str">
        <f t="shared" si="2"/>
        <v>Normal</v>
      </c>
    </row>
    <row r="103" spans="1:4" x14ac:dyDescent="0.25">
      <c r="A103">
        <v>32783</v>
      </c>
      <c r="C103">
        <f t="shared" si="3"/>
        <v>-0.97336655613235468</v>
      </c>
      <c r="D103" t="str">
        <f t="shared" si="2"/>
        <v>Normal</v>
      </c>
    </row>
    <row r="104" spans="1:4" x14ac:dyDescent="0.25">
      <c r="A104">
        <v>54790</v>
      </c>
      <c r="C104">
        <f t="shared" si="3"/>
        <v>-0.27066368467094171</v>
      </c>
      <c r="D104" t="str">
        <f t="shared" si="2"/>
        <v>Normal</v>
      </c>
    </row>
    <row r="105" spans="1:4" x14ac:dyDescent="0.25">
      <c r="A105">
        <v>62687</v>
      </c>
      <c r="C105">
        <f t="shared" si="3"/>
        <v>-1.850552699698443E-2</v>
      </c>
      <c r="D105" t="str">
        <f t="shared" si="2"/>
        <v>Normal</v>
      </c>
    </row>
    <row r="106" spans="1:4" x14ac:dyDescent="0.25">
      <c r="A106">
        <v>65934</v>
      </c>
      <c r="C106">
        <f t="shared" si="3"/>
        <v>8.5174039669767415E-2</v>
      </c>
      <c r="D106" t="str">
        <f t="shared" si="2"/>
        <v>Normal</v>
      </c>
    </row>
    <row r="107" spans="1:4" x14ac:dyDescent="0.25">
      <c r="A107">
        <v>54273</v>
      </c>
      <c r="C107">
        <f t="shared" si="3"/>
        <v>-0.28717194952056002</v>
      </c>
      <c r="D107" t="str">
        <f t="shared" si="2"/>
        <v>Normal</v>
      </c>
    </row>
    <row r="108" spans="1:4" x14ac:dyDescent="0.25">
      <c r="A108">
        <v>53851</v>
      </c>
      <c r="C108">
        <f t="shared" si="3"/>
        <v>-0.30064678079046125</v>
      </c>
      <c r="D108" t="str">
        <f t="shared" si="2"/>
        <v>Normal</v>
      </c>
    </row>
    <row r="109" spans="1:4" x14ac:dyDescent="0.25">
      <c r="A109">
        <v>53318</v>
      </c>
      <c r="C109">
        <f t="shared" si="3"/>
        <v>-0.31766593971666351</v>
      </c>
      <c r="D109" t="str">
        <f t="shared" si="2"/>
        <v>Normal</v>
      </c>
    </row>
    <row r="110" spans="1:4" x14ac:dyDescent="0.25">
      <c r="A110">
        <v>34403</v>
      </c>
      <c r="C110">
        <f t="shared" si="3"/>
        <v>-0.92163853087823144</v>
      </c>
      <c r="D110" t="str">
        <f t="shared" si="2"/>
        <v>Normal</v>
      </c>
    </row>
    <row r="111" spans="1:4" x14ac:dyDescent="0.25">
      <c r="A111">
        <v>30203</v>
      </c>
      <c r="C111">
        <f t="shared" si="3"/>
        <v>-1.0557482259815139</v>
      </c>
      <c r="D111" t="str">
        <f t="shared" si="2"/>
        <v>Normal</v>
      </c>
    </row>
    <row r="112" spans="1:4" x14ac:dyDescent="0.25">
      <c r="A112">
        <v>23545</v>
      </c>
      <c r="C112">
        <f t="shared" si="3"/>
        <v>-1.2683440236000028</v>
      </c>
      <c r="D112" t="str">
        <f t="shared" si="2"/>
        <v>Normal</v>
      </c>
    </row>
    <row r="113" spans="1:4" x14ac:dyDescent="0.25">
      <c r="A113">
        <v>70716</v>
      </c>
      <c r="C113">
        <f t="shared" si="3"/>
        <v>0.23786750680879029</v>
      </c>
      <c r="D113" t="str">
        <f t="shared" si="2"/>
        <v>Normal</v>
      </c>
    </row>
    <row r="114" spans="1:4" x14ac:dyDescent="0.25">
      <c r="A114">
        <v>68203</v>
      </c>
      <c r="C114">
        <f t="shared" si="3"/>
        <v>0.15762520590532636</v>
      </c>
      <c r="D114" t="str">
        <f t="shared" si="2"/>
        <v>Normal</v>
      </c>
    </row>
    <row r="115" spans="1:4" x14ac:dyDescent="0.25">
      <c r="A115">
        <v>28708</v>
      </c>
      <c r="C115">
        <f t="shared" si="3"/>
        <v>-1.103484891262325</v>
      </c>
      <c r="D115" t="str">
        <f t="shared" si="2"/>
        <v>Normal</v>
      </c>
    </row>
    <row r="116" spans="1:4" x14ac:dyDescent="0.25">
      <c r="A116">
        <v>34942</v>
      </c>
      <c r="C116">
        <f t="shared" si="3"/>
        <v>-0.90442778667331025</v>
      </c>
      <c r="D116" t="str">
        <f t="shared" si="2"/>
        <v>Normal</v>
      </c>
    </row>
    <row r="117" spans="1:4" x14ac:dyDescent="0.25">
      <c r="A117">
        <v>64424</v>
      </c>
      <c r="C117">
        <f t="shared" si="3"/>
        <v>3.6958411192158765E-2</v>
      </c>
      <c r="D117" t="str">
        <f t="shared" si="2"/>
        <v>Normal</v>
      </c>
    </row>
    <row r="118" spans="1:4" x14ac:dyDescent="0.25">
      <c r="A118">
        <v>45359</v>
      </c>
      <c r="C118">
        <f t="shared" si="3"/>
        <v>-0.5718038119373835</v>
      </c>
      <c r="D118" t="str">
        <f t="shared" si="2"/>
        <v>Normal</v>
      </c>
    </row>
    <row r="119" spans="1:4" x14ac:dyDescent="0.25">
      <c r="A119">
        <v>60819</v>
      </c>
      <c r="C119">
        <f t="shared" si="3"/>
        <v>-7.815241043815857E-2</v>
      </c>
      <c r="D119" t="str">
        <f t="shared" si="2"/>
        <v>Normal</v>
      </c>
    </row>
    <row r="120" spans="1:4" x14ac:dyDescent="0.25">
      <c r="A120">
        <v>68153</v>
      </c>
      <c r="C120">
        <f t="shared" si="3"/>
        <v>0.15602866191600157</v>
      </c>
      <c r="D120" t="str">
        <f t="shared" si="2"/>
        <v>Normal</v>
      </c>
    </row>
    <row r="121" spans="1:4" x14ac:dyDescent="0.25">
      <c r="A121">
        <v>21021</v>
      </c>
      <c r="C121">
        <f t="shared" si="3"/>
        <v>-1.3489375641811181</v>
      </c>
      <c r="D121" t="str">
        <f t="shared" si="2"/>
        <v>Normal</v>
      </c>
    </row>
    <row r="122" spans="1:4" x14ac:dyDescent="0.25">
      <c r="A122">
        <v>59600</v>
      </c>
      <c r="C122">
        <f t="shared" si="3"/>
        <v>-0.11707615289789694</v>
      </c>
      <c r="D122" t="str">
        <f t="shared" si="2"/>
        <v>Normal</v>
      </c>
    </row>
    <row r="123" spans="1:4" x14ac:dyDescent="0.25">
      <c r="A123">
        <v>32595</v>
      </c>
      <c r="C123">
        <f t="shared" si="3"/>
        <v>-0.97936956153221588</v>
      </c>
      <c r="D123" t="str">
        <f t="shared" si="2"/>
        <v>Normal</v>
      </c>
    </row>
    <row r="124" spans="1:4" x14ac:dyDescent="0.25">
      <c r="A124">
        <v>28632</v>
      </c>
      <c r="C124">
        <f t="shared" si="3"/>
        <v>-1.1059116381260987</v>
      </c>
      <c r="D124" t="str">
        <f t="shared" si="2"/>
        <v>Normal</v>
      </c>
    </row>
    <row r="125" spans="1:4" x14ac:dyDescent="0.25">
      <c r="A125">
        <v>16493</v>
      </c>
      <c r="C125">
        <f t="shared" si="3"/>
        <v>-1.4935205878543711</v>
      </c>
      <c r="D125" t="str">
        <f t="shared" si="2"/>
        <v>Normal</v>
      </c>
    </row>
    <row r="126" spans="1:4" x14ac:dyDescent="0.25">
      <c r="A126">
        <v>83438</v>
      </c>
      <c r="C126">
        <f t="shared" si="3"/>
        <v>0.6440921594525898</v>
      </c>
      <c r="D126" t="str">
        <f t="shared" si="2"/>
        <v>Normal</v>
      </c>
    </row>
    <row r="127" spans="1:4" x14ac:dyDescent="0.25">
      <c r="A127">
        <v>35049</v>
      </c>
      <c r="C127">
        <f t="shared" si="3"/>
        <v>-0.9010111825361552</v>
      </c>
      <c r="D127" t="str">
        <f t="shared" si="2"/>
        <v>Normal</v>
      </c>
    </row>
    <row r="128" spans="1:4" x14ac:dyDescent="0.25">
      <c r="A128">
        <v>60495</v>
      </c>
      <c r="C128">
        <f t="shared" si="3"/>
        <v>-8.8498015488983214E-2</v>
      </c>
      <c r="D128" t="str">
        <f t="shared" si="2"/>
        <v>Normal</v>
      </c>
    </row>
    <row r="129" spans="1:4" x14ac:dyDescent="0.25">
      <c r="A129">
        <v>34460</v>
      </c>
      <c r="C129">
        <f t="shared" si="3"/>
        <v>-0.91981847073040124</v>
      </c>
      <c r="D129" t="str">
        <f t="shared" si="2"/>
        <v>Normal</v>
      </c>
    </row>
    <row r="130" spans="1:4" x14ac:dyDescent="0.25">
      <c r="A130">
        <v>55664</v>
      </c>
      <c r="C130">
        <f t="shared" si="3"/>
        <v>-0.24275609573754439</v>
      </c>
      <c r="D130" t="str">
        <f t="shared" ref="D130:D193" si="4">IF(ABS(C130) &gt; 2.5, "Outlier", "Normal")</f>
        <v>Normal</v>
      </c>
    </row>
    <row r="131" spans="1:4" x14ac:dyDescent="0.25">
      <c r="A131">
        <v>77578</v>
      </c>
      <c r="C131">
        <f t="shared" ref="C131:C194" si="5">(A131 - $B$5) / $B$7</f>
        <v>0.45697720390372443</v>
      </c>
      <c r="D131" t="str">
        <f t="shared" si="4"/>
        <v>Normal</v>
      </c>
    </row>
    <row r="132" spans="1:4" x14ac:dyDescent="0.25">
      <c r="A132">
        <v>57721</v>
      </c>
      <c r="C132">
        <f t="shared" si="5"/>
        <v>-0.17707427601672254</v>
      </c>
      <c r="D132" t="str">
        <f t="shared" si="4"/>
        <v>Normal</v>
      </c>
    </row>
    <row r="133" spans="1:4" x14ac:dyDescent="0.25">
      <c r="A133">
        <v>62673</v>
      </c>
      <c r="C133">
        <f t="shared" si="5"/>
        <v>-1.8952559313995372E-2</v>
      </c>
      <c r="D133" t="str">
        <f t="shared" si="4"/>
        <v>Normal</v>
      </c>
    </row>
    <row r="134" spans="1:4" x14ac:dyDescent="0.25">
      <c r="A134">
        <v>20803</v>
      </c>
      <c r="C134">
        <f t="shared" si="5"/>
        <v>-1.3558984959745743</v>
      </c>
      <c r="D134" t="str">
        <f t="shared" si="4"/>
        <v>Normal</v>
      </c>
    </row>
    <row r="135" spans="1:4" x14ac:dyDescent="0.25">
      <c r="A135">
        <v>19035</v>
      </c>
      <c r="C135">
        <f t="shared" si="5"/>
        <v>-1.4123522914370987</v>
      </c>
      <c r="D135" t="str">
        <f t="shared" si="4"/>
        <v>Normal</v>
      </c>
    </row>
    <row r="136" spans="1:4" x14ac:dyDescent="0.25">
      <c r="A136">
        <v>82570</v>
      </c>
      <c r="C136">
        <f t="shared" si="5"/>
        <v>0.61637615579791138</v>
      </c>
      <c r="D136" t="str">
        <f t="shared" si="4"/>
        <v>Normal</v>
      </c>
    </row>
    <row r="137" spans="1:4" x14ac:dyDescent="0.25">
      <c r="A137">
        <v>52749</v>
      </c>
      <c r="C137">
        <f t="shared" si="5"/>
        <v>-0.33583461031517964</v>
      </c>
      <c r="D137" t="str">
        <f t="shared" si="4"/>
        <v>Normal</v>
      </c>
    </row>
    <row r="138" spans="1:4" x14ac:dyDescent="0.25">
      <c r="A138">
        <v>42651</v>
      </c>
      <c r="C138">
        <f t="shared" si="5"/>
        <v>-0.65827263439921413</v>
      </c>
      <c r="D138" t="str">
        <f t="shared" si="4"/>
        <v>Normal</v>
      </c>
    </row>
    <row r="139" spans="1:4" x14ac:dyDescent="0.25">
      <c r="A139">
        <v>57176</v>
      </c>
      <c r="C139">
        <f t="shared" si="5"/>
        <v>-0.19447660550036275</v>
      </c>
      <c r="D139" t="str">
        <f t="shared" si="4"/>
        <v>Normal</v>
      </c>
    </row>
    <row r="140" spans="1:4" x14ac:dyDescent="0.25">
      <c r="A140">
        <v>47899</v>
      </c>
      <c r="C140">
        <f t="shared" si="5"/>
        <v>-0.49069937727968421</v>
      </c>
      <c r="D140" t="str">
        <f t="shared" si="4"/>
        <v>Normal</v>
      </c>
    </row>
    <row r="141" spans="1:4" x14ac:dyDescent="0.25">
      <c r="A141">
        <v>62716</v>
      </c>
      <c r="C141">
        <f t="shared" si="5"/>
        <v>-1.7579531483176054E-2</v>
      </c>
      <c r="D141" t="str">
        <f t="shared" si="4"/>
        <v>Normal</v>
      </c>
    </row>
    <row r="142" spans="1:4" x14ac:dyDescent="0.25">
      <c r="A142">
        <v>18797</v>
      </c>
      <c r="C142">
        <f t="shared" si="5"/>
        <v>-1.4199518408262848</v>
      </c>
      <c r="D142" t="str">
        <f t="shared" si="4"/>
        <v>Normal</v>
      </c>
    </row>
    <row r="143" spans="1:4" x14ac:dyDescent="0.25">
      <c r="A143">
        <v>47917</v>
      </c>
      <c r="C143">
        <f t="shared" si="5"/>
        <v>-0.49012462144352731</v>
      </c>
      <c r="D143" t="str">
        <f t="shared" si="4"/>
        <v>Normal</v>
      </c>
    </row>
    <row r="144" spans="1:4" x14ac:dyDescent="0.25">
      <c r="A144">
        <v>63929</v>
      </c>
      <c r="C144">
        <f t="shared" si="5"/>
        <v>2.1152625697843343E-2</v>
      </c>
      <c r="D144" t="str">
        <f t="shared" si="4"/>
        <v>Normal</v>
      </c>
    </row>
    <row r="145" spans="1:4" x14ac:dyDescent="0.25">
      <c r="A145">
        <v>34606</v>
      </c>
      <c r="C145">
        <f t="shared" si="5"/>
        <v>-0.91515656228157283</v>
      </c>
      <c r="D145" t="str">
        <f t="shared" si="4"/>
        <v>Normal</v>
      </c>
    </row>
    <row r="146" spans="1:4" x14ac:dyDescent="0.25">
      <c r="A146">
        <v>31619</v>
      </c>
      <c r="C146">
        <f t="shared" si="5"/>
        <v>-1.0105341002038357</v>
      </c>
      <c r="D146" t="str">
        <f t="shared" si="4"/>
        <v>Normal</v>
      </c>
    </row>
    <row r="147" spans="1:4" x14ac:dyDescent="0.25">
      <c r="A147">
        <v>62734</v>
      </c>
      <c r="C147">
        <f t="shared" si="5"/>
        <v>-1.7004775647019129E-2</v>
      </c>
      <c r="D147" t="str">
        <f t="shared" si="4"/>
        <v>Normal</v>
      </c>
    </row>
    <row r="148" spans="1:4" x14ac:dyDescent="0.25">
      <c r="A148">
        <v>41531</v>
      </c>
      <c r="C148">
        <f t="shared" si="5"/>
        <v>-0.69403521976008942</v>
      </c>
      <c r="D148" t="str">
        <f t="shared" si="4"/>
        <v>Normal</v>
      </c>
    </row>
    <row r="149" spans="1:4" x14ac:dyDescent="0.25">
      <c r="A149">
        <v>61174</v>
      </c>
      <c r="C149">
        <f t="shared" si="5"/>
        <v>-6.6816948113952571E-2</v>
      </c>
      <c r="D149" t="str">
        <f t="shared" si="4"/>
        <v>Normal</v>
      </c>
    </row>
    <row r="150" spans="1:4" x14ac:dyDescent="0.25">
      <c r="A150">
        <v>71773</v>
      </c>
      <c r="C150">
        <f t="shared" si="5"/>
        <v>0.27161844674311636</v>
      </c>
      <c r="D150" t="str">
        <f t="shared" si="4"/>
        <v>Normal</v>
      </c>
    </row>
    <row r="151" spans="1:4" x14ac:dyDescent="0.25">
      <c r="A151">
        <v>60721</v>
      </c>
      <c r="C151">
        <f t="shared" si="5"/>
        <v>-8.128163665723516E-2</v>
      </c>
      <c r="D151" t="str">
        <f t="shared" si="4"/>
        <v>Normal</v>
      </c>
    </row>
    <row r="152" spans="1:4" x14ac:dyDescent="0.25">
      <c r="A152">
        <v>37341</v>
      </c>
      <c r="C152">
        <f t="shared" si="5"/>
        <v>-0.82782560606550681</v>
      </c>
      <c r="D152" t="str">
        <f t="shared" si="4"/>
        <v>Normal</v>
      </c>
    </row>
    <row r="153" spans="1:4" x14ac:dyDescent="0.25">
      <c r="A153">
        <v>55013</v>
      </c>
      <c r="C153">
        <f t="shared" si="5"/>
        <v>-0.26354309847855317</v>
      </c>
      <c r="D153" t="str">
        <f t="shared" si="4"/>
        <v>Normal</v>
      </c>
    </row>
    <row r="154" spans="1:4" x14ac:dyDescent="0.25">
      <c r="A154">
        <v>65039</v>
      </c>
      <c r="C154">
        <f t="shared" si="5"/>
        <v>5.6595902260853675E-2</v>
      </c>
      <c r="D154" t="str">
        <f t="shared" si="4"/>
        <v>Normal</v>
      </c>
    </row>
    <row r="155" spans="1:4" x14ac:dyDescent="0.25">
      <c r="A155">
        <v>21486</v>
      </c>
      <c r="C155">
        <f t="shared" si="5"/>
        <v>-1.3340897050803977</v>
      </c>
      <c r="D155" t="str">
        <f t="shared" si="4"/>
        <v>Normal</v>
      </c>
    </row>
    <row r="156" spans="1:4" x14ac:dyDescent="0.25">
      <c r="A156">
        <v>20018</v>
      </c>
      <c r="C156">
        <f t="shared" si="5"/>
        <v>-1.3809642366069734</v>
      </c>
      <c r="D156" t="str">
        <f t="shared" si="4"/>
        <v>Normal</v>
      </c>
    </row>
    <row r="157" spans="1:4" x14ac:dyDescent="0.25">
      <c r="A157">
        <v>56844</v>
      </c>
      <c r="C157">
        <f t="shared" si="5"/>
        <v>-0.20507765758947935</v>
      </c>
      <c r="D157" t="str">
        <f t="shared" si="4"/>
        <v>Normal</v>
      </c>
    </row>
    <row r="158" spans="1:4" x14ac:dyDescent="0.25">
      <c r="A158">
        <v>59460</v>
      </c>
      <c r="C158">
        <f t="shared" si="5"/>
        <v>-0.12154647606800635</v>
      </c>
      <c r="D158" t="str">
        <f t="shared" si="4"/>
        <v>Normal</v>
      </c>
    </row>
    <row r="159" spans="1:4" x14ac:dyDescent="0.25">
      <c r="A159">
        <v>53827</v>
      </c>
      <c r="C159">
        <f t="shared" si="5"/>
        <v>-0.30141312190533714</v>
      </c>
      <c r="D159" t="str">
        <f t="shared" si="4"/>
        <v>Normal</v>
      </c>
    </row>
    <row r="160" spans="1:4" x14ac:dyDescent="0.25">
      <c r="A160">
        <v>71122</v>
      </c>
      <c r="C160">
        <f t="shared" si="5"/>
        <v>0.25083144400210761</v>
      </c>
      <c r="D160" t="str">
        <f t="shared" si="4"/>
        <v>Normal</v>
      </c>
    </row>
    <row r="161" spans="1:4" x14ac:dyDescent="0.25">
      <c r="A161">
        <v>55281</v>
      </c>
      <c r="C161">
        <f t="shared" si="5"/>
        <v>-0.2549856226957723</v>
      </c>
      <c r="D161" t="str">
        <f t="shared" si="4"/>
        <v>Normal</v>
      </c>
    </row>
    <row r="162" spans="1:4" x14ac:dyDescent="0.25">
      <c r="A162">
        <v>49719</v>
      </c>
      <c r="C162">
        <f t="shared" si="5"/>
        <v>-0.43258517606826186</v>
      </c>
      <c r="D162" t="str">
        <f t="shared" si="4"/>
        <v>Normal</v>
      </c>
    </row>
    <row r="163" spans="1:4" x14ac:dyDescent="0.25">
      <c r="A163">
        <v>23723</v>
      </c>
      <c r="C163">
        <f t="shared" si="5"/>
        <v>-1.2626603269980066</v>
      </c>
      <c r="D163" t="str">
        <f t="shared" si="4"/>
        <v>Normal</v>
      </c>
    </row>
    <row r="164" spans="1:4" x14ac:dyDescent="0.25">
      <c r="A164">
        <v>50697</v>
      </c>
      <c r="C164">
        <f t="shared" si="5"/>
        <v>-0.40135677563706901</v>
      </c>
      <c r="D164" t="str">
        <f t="shared" si="4"/>
        <v>Normal</v>
      </c>
    </row>
    <row r="165" spans="1:4" x14ac:dyDescent="0.25">
      <c r="A165">
        <v>63823</v>
      </c>
      <c r="C165">
        <f t="shared" si="5"/>
        <v>1.7767952440474792E-2</v>
      </c>
      <c r="D165" t="str">
        <f t="shared" si="4"/>
        <v>Normal</v>
      </c>
    </row>
    <row r="166" spans="1:4" x14ac:dyDescent="0.25">
      <c r="A166">
        <v>64078</v>
      </c>
      <c r="C166">
        <f t="shared" si="5"/>
        <v>2.5910326786031217E-2</v>
      </c>
      <c r="D166" t="str">
        <f t="shared" si="4"/>
        <v>Normal</v>
      </c>
    </row>
    <row r="167" spans="1:4" x14ac:dyDescent="0.25">
      <c r="A167">
        <v>46426</v>
      </c>
      <c r="C167">
        <f t="shared" si="5"/>
        <v>-0.5377335632051925</v>
      </c>
      <c r="D167" t="str">
        <f t="shared" si="4"/>
        <v>Normal</v>
      </c>
    </row>
    <row r="168" spans="1:4" x14ac:dyDescent="0.25">
      <c r="A168">
        <v>42535</v>
      </c>
      <c r="C168">
        <f t="shared" si="5"/>
        <v>-0.66197661645444772</v>
      </c>
      <c r="D168" t="str">
        <f t="shared" si="4"/>
        <v>Normal</v>
      </c>
    </row>
    <row r="169" spans="1:4" x14ac:dyDescent="0.25">
      <c r="A169">
        <v>71882</v>
      </c>
      <c r="C169">
        <f t="shared" si="5"/>
        <v>0.27509891263984437</v>
      </c>
      <c r="D169" t="str">
        <f t="shared" si="4"/>
        <v>Normal</v>
      </c>
    </row>
    <row r="170" spans="1:4" x14ac:dyDescent="0.25">
      <c r="A170">
        <v>72836</v>
      </c>
      <c r="C170">
        <f t="shared" si="5"/>
        <v>0.30556097195616139</v>
      </c>
      <c r="D170" t="str">
        <f t="shared" si="4"/>
        <v>Normal</v>
      </c>
    </row>
    <row r="171" spans="1:4" x14ac:dyDescent="0.25">
      <c r="A171">
        <v>50395</v>
      </c>
      <c r="C171">
        <f t="shared" si="5"/>
        <v>-0.41099990133259073</v>
      </c>
      <c r="D171" t="str">
        <f t="shared" si="4"/>
        <v>Normal</v>
      </c>
    </row>
    <row r="172" spans="1:4" x14ac:dyDescent="0.25">
      <c r="A172">
        <v>27479</v>
      </c>
      <c r="C172">
        <f t="shared" si="5"/>
        <v>-1.1427279425199284</v>
      </c>
      <c r="D172" t="str">
        <f t="shared" si="4"/>
        <v>Normal</v>
      </c>
    </row>
    <row r="173" spans="1:4" x14ac:dyDescent="0.25">
      <c r="A173">
        <v>66962</v>
      </c>
      <c r="C173">
        <f t="shared" si="5"/>
        <v>0.11799898409028509</v>
      </c>
      <c r="D173" t="str">
        <f t="shared" si="4"/>
        <v>Normal</v>
      </c>
    </row>
    <row r="174" spans="1:4" x14ac:dyDescent="0.25">
      <c r="A174">
        <v>71319</v>
      </c>
      <c r="C174">
        <f t="shared" si="5"/>
        <v>0.25712182732004724</v>
      </c>
      <c r="D174" t="str">
        <f t="shared" si="4"/>
        <v>Normal</v>
      </c>
    </row>
    <row r="175" spans="1:4" x14ac:dyDescent="0.25">
      <c r="A175">
        <v>54455</v>
      </c>
      <c r="C175">
        <f t="shared" si="5"/>
        <v>-0.2813605293994178</v>
      </c>
      <c r="D175" t="str">
        <f t="shared" si="4"/>
        <v>Normal</v>
      </c>
    </row>
    <row r="176" spans="1:4" x14ac:dyDescent="0.25">
      <c r="A176">
        <v>50100</v>
      </c>
      <c r="C176">
        <f t="shared" si="5"/>
        <v>-0.42041951086960699</v>
      </c>
      <c r="D176" t="str">
        <f t="shared" si="4"/>
        <v>Normal</v>
      </c>
    </row>
    <row r="177" spans="1:4" x14ac:dyDescent="0.25">
      <c r="A177">
        <v>20993</v>
      </c>
      <c r="C177">
        <f t="shared" si="5"/>
        <v>-1.34983162881514</v>
      </c>
      <c r="D177" t="str">
        <f t="shared" si="4"/>
        <v>Normal</v>
      </c>
    </row>
    <row r="178" spans="1:4" x14ac:dyDescent="0.25">
      <c r="A178">
        <v>56867</v>
      </c>
      <c r="C178">
        <f t="shared" si="5"/>
        <v>-0.20434324735438994</v>
      </c>
      <c r="D178" t="str">
        <f t="shared" si="4"/>
        <v>Normal</v>
      </c>
    </row>
    <row r="179" spans="1:4" x14ac:dyDescent="0.25">
      <c r="A179">
        <v>66047</v>
      </c>
      <c r="C179">
        <f t="shared" si="5"/>
        <v>8.8782229085641429E-2</v>
      </c>
      <c r="D179" t="str">
        <f t="shared" si="4"/>
        <v>Normal</v>
      </c>
    </row>
    <row r="180" spans="1:4" x14ac:dyDescent="0.25">
      <c r="A180">
        <v>38426</v>
      </c>
      <c r="C180">
        <f t="shared" si="5"/>
        <v>-0.79318060149715885</v>
      </c>
      <c r="D180" t="str">
        <f t="shared" si="4"/>
        <v>Normal</v>
      </c>
    </row>
    <row r="181" spans="1:4" x14ac:dyDescent="0.25">
      <c r="A181">
        <v>21542</v>
      </c>
      <c r="C181">
        <f t="shared" si="5"/>
        <v>-1.3323015758123538</v>
      </c>
      <c r="D181" t="str">
        <f t="shared" si="4"/>
        <v>Normal</v>
      </c>
    </row>
    <row r="182" spans="1:4" x14ac:dyDescent="0.25">
      <c r="A182">
        <v>20314</v>
      </c>
      <c r="C182">
        <f t="shared" si="5"/>
        <v>-1.3715126961901707</v>
      </c>
      <c r="D182" t="str">
        <f t="shared" si="4"/>
        <v>Normal</v>
      </c>
    </row>
    <row r="183" spans="1:4" x14ac:dyDescent="0.25">
      <c r="A183">
        <v>18385</v>
      </c>
      <c r="C183">
        <f t="shared" si="5"/>
        <v>-1.4331073632983211</v>
      </c>
      <c r="D183" t="str">
        <f t="shared" si="4"/>
        <v>Normal</v>
      </c>
    </row>
    <row r="184" spans="1:4" x14ac:dyDescent="0.25">
      <c r="A184">
        <v>63061</v>
      </c>
      <c r="C184">
        <f t="shared" si="5"/>
        <v>-6.563377956835004E-3</v>
      </c>
      <c r="D184" t="str">
        <f t="shared" si="4"/>
        <v>Normal</v>
      </c>
    </row>
    <row r="185" spans="1:4" x14ac:dyDescent="0.25">
      <c r="A185">
        <v>38569</v>
      </c>
      <c r="C185">
        <f t="shared" si="5"/>
        <v>-0.78861448568768999</v>
      </c>
      <c r="D185" t="str">
        <f t="shared" si="4"/>
        <v>Normal</v>
      </c>
    </row>
    <row r="186" spans="1:4" x14ac:dyDescent="0.25">
      <c r="A186">
        <v>21909</v>
      </c>
      <c r="C186">
        <f t="shared" si="5"/>
        <v>-1.3205829429307099</v>
      </c>
      <c r="D186" t="str">
        <f t="shared" si="4"/>
        <v>Normal</v>
      </c>
    </row>
    <row r="187" spans="1:4" x14ac:dyDescent="0.25">
      <c r="A187">
        <v>60542</v>
      </c>
      <c r="C187">
        <f t="shared" si="5"/>
        <v>-8.6997264139017913E-2</v>
      </c>
      <c r="D187" t="str">
        <f t="shared" si="4"/>
        <v>Normal</v>
      </c>
    </row>
    <row r="188" spans="1:4" x14ac:dyDescent="0.25">
      <c r="A188">
        <v>18223</v>
      </c>
      <c r="C188">
        <f t="shared" si="5"/>
        <v>-1.4382801658237334</v>
      </c>
      <c r="D188" t="str">
        <f t="shared" si="4"/>
        <v>Normal</v>
      </c>
    </row>
    <row r="189" spans="1:4" x14ac:dyDescent="0.25">
      <c r="A189">
        <v>55025</v>
      </c>
      <c r="C189">
        <f t="shared" si="5"/>
        <v>-0.2631599279211152</v>
      </c>
      <c r="D189" t="str">
        <f t="shared" si="4"/>
        <v>Normal</v>
      </c>
    </row>
    <row r="190" spans="1:4" x14ac:dyDescent="0.25">
      <c r="A190">
        <v>34027</v>
      </c>
      <c r="C190">
        <f t="shared" si="5"/>
        <v>-0.93364454167795385</v>
      </c>
      <c r="D190" t="str">
        <f t="shared" si="4"/>
        <v>Normal</v>
      </c>
    </row>
    <row r="191" spans="1:4" x14ac:dyDescent="0.25">
      <c r="A191">
        <v>40916</v>
      </c>
      <c r="C191">
        <f t="shared" si="5"/>
        <v>-0.71367271082878436</v>
      </c>
      <c r="D191" t="str">
        <f t="shared" si="4"/>
        <v>Normal</v>
      </c>
    </row>
    <row r="192" spans="1:4" x14ac:dyDescent="0.25">
      <c r="A192">
        <v>72609</v>
      </c>
      <c r="C192">
        <f t="shared" si="5"/>
        <v>0.29831266224462683</v>
      </c>
      <c r="D192" t="str">
        <f t="shared" si="4"/>
        <v>Normal</v>
      </c>
    </row>
    <row r="193" spans="1:4" x14ac:dyDescent="0.25">
      <c r="A193">
        <v>30856</v>
      </c>
      <c r="C193">
        <f t="shared" si="5"/>
        <v>-1.034897361480932</v>
      </c>
      <c r="D193" t="str">
        <f t="shared" si="4"/>
        <v>Normal</v>
      </c>
    </row>
    <row r="194" spans="1:4" x14ac:dyDescent="0.25">
      <c r="A194">
        <v>62327</v>
      </c>
      <c r="C194">
        <f t="shared" si="5"/>
        <v>-3.0000643720122917E-2</v>
      </c>
      <c r="D194" t="str">
        <f t="shared" ref="D194:D257" si="6">IF(ABS(C194) &gt; 2.5, "Outlier", "Normal")</f>
        <v>Normal</v>
      </c>
    </row>
    <row r="195" spans="1:4" x14ac:dyDescent="0.25">
      <c r="A195">
        <v>24797</v>
      </c>
      <c r="C195">
        <f t="shared" ref="C195:C258" si="7">(A195 - $B$5) / $B$7</f>
        <v>-1.2283665621073101</v>
      </c>
      <c r="D195" t="str">
        <f t="shared" si="6"/>
        <v>Normal</v>
      </c>
    </row>
    <row r="196" spans="1:4" x14ac:dyDescent="0.25">
      <c r="A196">
        <v>33463</v>
      </c>
      <c r="C196">
        <f t="shared" si="7"/>
        <v>-0.95165355787753747</v>
      </c>
      <c r="D196" t="str">
        <f t="shared" si="6"/>
        <v>Normal</v>
      </c>
    </row>
    <row r="197" spans="1:4" x14ac:dyDescent="0.25">
      <c r="A197">
        <v>75063</v>
      </c>
      <c r="C197">
        <f t="shared" si="7"/>
        <v>0.37667104124068751</v>
      </c>
      <c r="D197" t="str">
        <f t="shared" si="6"/>
        <v>Normal</v>
      </c>
    </row>
    <row r="198" spans="1:4" x14ac:dyDescent="0.25">
      <c r="A198">
        <v>68186</v>
      </c>
      <c r="C198">
        <f t="shared" si="7"/>
        <v>0.15708238094895594</v>
      </c>
      <c r="D198" t="str">
        <f t="shared" si="6"/>
        <v>Normal</v>
      </c>
    </row>
    <row r="199" spans="1:4" x14ac:dyDescent="0.25">
      <c r="A199">
        <v>40065</v>
      </c>
      <c r="C199">
        <f t="shared" si="7"/>
        <v>-0.74084588952709229</v>
      </c>
      <c r="D199" t="str">
        <f t="shared" si="6"/>
        <v>Normal</v>
      </c>
    </row>
    <row r="200" spans="1:4" x14ac:dyDescent="0.25">
      <c r="A200">
        <v>57767</v>
      </c>
      <c r="C200">
        <f t="shared" si="7"/>
        <v>-0.17560545554654375</v>
      </c>
      <c r="D200" t="str">
        <f t="shared" si="6"/>
        <v>Normal</v>
      </c>
    </row>
    <row r="201" spans="1:4" x14ac:dyDescent="0.25">
      <c r="A201">
        <v>69200</v>
      </c>
      <c r="C201">
        <f t="shared" si="7"/>
        <v>0.18946029305246267</v>
      </c>
      <c r="D201" t="str">
        <f t="shared" si="6"/>
        <v>Normal</v>
      </c>
    </row>
    <row r="202" spans="1:4" x14ac:dyDescent="0.25">
      <c r="A202">
        <v>73299</v>
      </c>
      <c r="C202">
        <f t="shared" si="7"/>
        <v>0.32034496929730893</v>
      </c>
      <c r="D202" t="str">
        <f t="shared" si="6"/>
        <v>Normal</v>
      </c>
    </row>
    <row r="203" spans="1:4" x14ac:dyDescent="0.25">
      <c r="A203">
        <v>54418</v>
      </c>
      <c r="C203">
        <f t="shared" si="7"/>
        <v>-0.28254197195151814</v>
      </c>
      <c r="D203" t="str">
        <f t="shared" si="6"/>
        <v>Normal</v>
      </c>
    </row>
    <row r="204" spans="1:4" x14ac:dyDescent="0.25">
      <c r="A204">
        <v>61459</v>
      </c>
      <c r="C204">
        <f t="shared" si="7"/>
        <v>-5.7716647374801262E-2</v>
      </c>
      <c r="D204" t="str">
        <f t="shared" si="6"/>
        <v>Normal</v>
      </c>
    </row>
    <row r="205" spans="1:4" x14ac:dyDescent="0.25">
      <c r="A205">
        <v>24758</v>
      </c>
      <c r="C205">
        <f t="shared" si="7"/>
        <v>-1.2296118664189835</v>
      </c>
      <c r="D205" t="str">
        <f t="shared" si="6"/>
        <v>Normal</v>
      </c>
    </row>
    <row r="206" spans="1:4" x14ac:dyDescent="0.25">
      <c r="A206">
        <v>85734</v>
      </c>
      <c r="C206">
        <f t="shared" si="7"/>
        <v>0.7174054594423841</v>
      </c>
      <c r="D206" t="str">
        <f t="shared" si="6"/>
        <v>Normal</v>
      </c>
    </row>
    <row r="207" spans="1:4" x14ac:dyDescent="0.25">
      <c r="A207">
        <v>18727</v>
      </c>
      <c r="C207">
        <f t="shared" si="7"/>
        <v>-1.4221870024113394</v>
      </c>
      <c r="D207" t="str">
        <f t="shared" si="6"/>
        <v>Normal</v>
      </c>
    </row>
    <row r="208" spans="1:4" x14ac:dyDescent="0.25">
      <c r="A208">
        <v>68101</v>
      </c>
      <c r="C208">
        <f t="shared" si="7"/>
        <v>0.15436825616710378</v>
      </c>
      <c r="D208" t="str">
        <f t="shared" si="6"/>
        <v>Normal</v>
      </c>
    </row>
    <row r="209" spans="1:4" x14ac:dyDescent="0.25">
      <c r="A209">
        <v>61005</v>
      </c>
      <c r="C209">
        <f t="shared" si="7"/>
        <v>-7.2213266797870351E-2</v>
      </c>
      <c r="D209" t="str">
        <f t="shared" si="6"/>
        <v>Normal</v>
      </c>
    </row>
    <row r="210" spans="1:4" x14ac:dyDescent="0.25">
      <c r="A210">
        <v>77384</v>
      </c>
      <c r="C210">
        <f t="shared" si="7"/>
        <v>0.45078261322514424</v>
      </c>
      <c r="D210" t="str">
        <f t="shared" si="6"/>
        <v>Normal</v>
      </c>
    </row>
    <row r="211" spans="1:4" x14ac:dyDescent="0.25">
      <c r="A211">
        <v>55209</v>
      </c>
      <c r="C211">
        <f t="shared" si="7"/>
        <v>-0.25728464604039997</v>
      </c>
      <c r="D211" t="str">
        <f t="shared" si="6"/>
        <v>Normal</v>
      </c>
    </row>
    <row r="212" spans="1:4" x14ac:dyDescent="0.25">
      <c r="A212">
        <v>81429</v>
      </c>
      <c r="C212">
        <f t="shared" si="7"/>
        <v>0.5799430219615197</v>
      </c>
      <c r="D212" t="str">
        <f t="shared" si="6"/>
        <v>Normal</v>
      </c>
    </row>
    <row r="213" spans="1:4" x14ac:dyDescent="0.25">
      <c r="A213">
        <v>58409</v>
      </c>
      <c r="C213">
        <f t="shared" si="7"/>
        <v>-0.15510583072361345</v>
      </c>
      <c r="D213" t="str">
        <f t="shared" si="6"/>
        <v>Normal</v>
      </c>
    </row>
    <row r="214" spans="1:4" x14ac:dyDescent="0.25">
      <c r="A214">
        <v>65216</v>
      </c>
      <c r="C214">
        <f t="shared" si="7"/>
        <v>6.2247667983063429E-2</v>
      </c>
      <c r="D214" t="str">
        <f t="shared" si="6"/>
        <v>Normal</v>
      </c>
    </row>
    <row r="215" spans="1:4" x14ac:dyDescent="0.25">
      <c r="A215">
        <v>21219</v>
      </c>
      <c r="C215">
        <f t="shared" si="7"/>
        <v>-1.3426152499833921</v>
      </c>
      <c r="D215" t="str">
        <f t="shared" si="6"/>
        <v>Normal</v>
      </c>
    </row>
    <row r="216" spans="1:4" x14ac:dyDescent="0.25">
      <c r="A216">
        <v>73085</v>
      </c>
      <c r="C216">
        <f t="shared" si="7"/>
        <v>0.31351176102299882</v>
      </c>
      <c r="D216" t="str">
        <f t="shared" si="6"/>
        <v>Normal</v>
      </c>
    </row>
    <row r="217" spans="1:4" x14ac:dyDescent="0.25">
      <c r="A217">
        <v>56492</v>
      </c>
      <c r="C217">
        <f t="shared" si="7"/>
        <v>-0.21631732727432587</v>
      </c>
      <c r="D217" t="str">
        <f t="shared" si="6"/>
        <v>Normal</v>
      </c>
    </row>
    <row r="218" spans="1:4" x14ac:dyDescent="0.25">
      <c r="A218">
        <v>75610</v>
      </c>
      <c r="C218">
        <f t="shared" si="7"/>
        <v>0.3941372324839007</v>
      </c>
      <c r="D218" t="str">
        <f t="shared" si="6"/>
        <v>Normal</v>
      </c>
    </row>
    <row r="219" spans="1:4" x14ac:dyDescent="0.25">
      <c r="A219">
        <v>28647</v>
      </c>
      <c r="C219">
        <f t="shared" si="7"/>
        <v>-1.1054326749293013</v>
      </c>
      <c r="D219" t="str">
        <f t="shared" si="6"/>
        <v>Normal</v>
      </c>
    </row>
    <row r="220" spans="1:4" x14ac:dyDescent="0.25">
      <c r="A220">
        <v>33594</v>
      </c>
      <c r="C220">
        <f t="shared" si="7"/>
        <v>-0.94747061262550658</v>
      </c>
      <c r="D220" t="str">
        <f t="shared" si="6"/>
        <v>Normal</v>
      </c>
    </row>
    <row r="221" spans="1:4" x14ac:dyDescent="0.25">
      <c r="A221">
        <v>68458</v>
      </c>
      <c r="C221">
        <f t="shared" si="7"/>
        <v>0.16576758025088278</v>
      </c>
      <c r="D221" t="str">
        <f t="shared" si="6"/>
        <v>Normal</v>
      </c>
    </row>
    <row r="222" spans="1:4" x14ac:dyDescent="0.25">
      <c r="A222">
        <v>49190</v>
      </c>
      <c r="C222">
        <f t="shared" si="7"/>
        <v>-0.44947661147531814</v>
      </c>
      <c r="D222" t="str">
        <f t="shared" si="6"/>
        <v>Normal</v>
      </c>
    </row>
    <row r="223" spans="1:4" x14ac:dyDescent="0.25">
      <c r="A223">
        <v>67568</v>
      </c>
      <c r="C223">
        <f t="shared" si="7"/>
        <v>0.13734909724090152</v>
      </c>
      <c r="D223" t="str">
        <f t="shared" si="6"/>
        <v>Normal</v>
      </c>
    </row>
    <row r="224" spans="1:4" x14ac:dyDescent="0.25">
      <c r="A224">
        <v>37391</v>
      </c>
      <c r="C224">
        <f t="shared" si="7"/>
        <v>-0.82622906207618207</v>
      </c>
      <c r="D224" t="str">
        <f t="shared" si="6"/>
        <v>Normal</v>
      </c>
    </row>
    <row r="225" spans="1:4" x14ac:dyDescent="0.25">
      <c r="A225">
        <v>53113</v>
      </c>
      <c r="C225">
        <f t="shared" si="7"/>
        <v>-0.32421177007289514</v>
      </c>
      <c r="D225" t="str">
        <f t="shared" si="6"/>
        <v>Normal</v>
      </c>
    </row>
    <row r="226" spans="1:4" x14ac:dyDescent="0.25">
      <c r="A226">
        <v>60372</v>
      </c>
      <c r="C226">
        <f t="shared" si="7"/>
        <v>-9.2425513702722187E-2</v>
      </c>
      <c r="D226" t="str">
        <f t="shared" si="6"/>
        <v>Normal</v>
      </c>
    </row>
    <row r="227" spans="1:4" x14ac:dyDescent="0.25">
      <c r="A227">
        <v>60280</v>
      </c>
      <c r="C227">
        <f t="shared" si="7"/>
        <v>-9.5363154643079803E-2</v>
      </c>
      <c r="D227" t="str">
        <f t="shared" si="6"/>
        <v>Normal</v>
      </c>
    </row>
    <row r="228" spans="1:4" x14ac:dyDescent="0.25">
      <c r="A228">
        <v>53837</v>
      </c>
      <c r="C228">
        <f t="shared" si="7"/>
        <v>-0.30109381310747219</v>
      </c>
      <c r="D228" t="str">
        <f t="shared" si="6"/>
        <v>Normal</v>
      </c>
    </row>
    <row r="229" spans="1:4" x14ac:dyDescent="0.25">
      <c r="A229">
        <v>80107</v>
      </c>
      <c r="C229">
        <f t="shared" si="7"/>
        <v>0.53773039888377228</v>
      </c>
      <c r="D229" t="str">
        <f t="shared" si="6"/>
        <v>Normal</v>
      </c>
    </row>
    <row r="230" spans="1:4" x14ac:dyDescent="0.25">
      <c r="A230">
        <v>57703</v>
      </c>
      <c r="C230">
        <f t="shared" si="7"/>
        <v>-0.17764903185287947</v>
      </c>
      <c r="D230" t="str">
        <f t="shared" si="6"/>
        <v>Normal</v>
      </c>
    </row>
    <row r="231" spans="1:4" x14ac:dyDescent="0.25">
      <c r="A231">
        <v>61468</v>
      </c>
      <c r="C231">
        <f t="shared" si="7"/>
        <v>-5.7429269456722803E-2</v>
      </c>
      <c r="D231" t="str">
        <f t="shared" si="6"/>
        <v>Normal</v>
      </c>
    </row>
    <row r="232" spans="1:4" x14ac:dyDescent="0.25">
      <c r="A232">
        <v>70368</v>
      </c>
      <c r="C232">
        <f t="shared" si="7"/>
        <v>0.22675556064308977</v>
      </c>
      <c r="D232" t="str">
        <f t="shared" si="6"/>
        <v>Normal</v>
      </c>
    </row>
    <row r="233" spans="1:4" x14ac:dyDescent="0.25">
      <c r="A233">
        <v>46324</v>
      </c>
      <c r="C233">
        <f t="shared" si="7"/>
        <v>-0.54099051294341505</v>
      </c>
      <c r="D233" t="str">
        <f t="shared" si="6"/>
        <v>Normal</v>
      </c>
    </row>
    <row r="234" spans="1:4" x14ac:dyDescent="0.25">
      <c r="A234">
        <v>65826</v>
      </c>
      <c r="C234">
        <f t="shared" si="7"/>
        <v>8.1725504652825867E-2</v>
      </c>
      <c r="D234" t="str">
        <f t="shared" si="6"/>
        <v>Normal</v>
      </c>
    </row>
    <row r="235" spans="1:4" x14ac:dyDescent="0.25">
      <c r="A235">
        <v>39753</v>
      </c>
      <c r="C235">
        <f t="shared" si="7"/>
        <v>-0.75080832402047892</v>
      </c>
      <c r="D235" t="str">
        <f t="shared" si="6"/>
        <v>Normal</v>
      </c>
    </row>
    <row r="236" spans="1:4" x14ac:dyDescent="0.25">
      <c r="A236">
        <v>53683</v>
      </c>
      <c r="C236">
        <f t="shared" si="7"/>
        <v>-0.30601116859459254</v>
      </c>
      <c r="D236" t="str">
        <f t="shared" si="6"/>
        <v>Normal</v>
      </c>
    </row>
    <row r="237" spans="1:4" x14ac:dyDescent="0.25">
      <c r="A237">
        <v>59951</v>
      </c>
      <c r="C237">
        <f t="shared" si="7"/>
        <v>-0.10586841409283693</v>
      </c>
      <c r="D237" t="str">
        <f t="shared" si="6"/>
        <v>Normal</v>
      </c>
    </row>
    <row r="238" spans="1:4" x14ac:dyDescent="0.25">
      <c r="A238">
        <v>21846</v>
      </c>
      <c r="C238">
        <f t="shared" si="7"/>
        <v>-1.3225945883572592</v>
      </c>
      <c r="D238" t="str">
        <f t="shared" si="6"/>
        <v>Normal</v>
      </c>
    </row>
    <row r="239" spans="1:4" x14ac:dyDescent="0.25">
      <c r="A239">
        <v>47744</v>
      </c>
      <c r="C239">
        <f t="shared" si="7"/>
        <v>-0.49564866364659105</v>
      </c>
      <c r="D239" t="str">
        <f t="shared" si="6"/>
        <v>Normal</v>
      </c>
    </row>
    <row r="240" spans="1:4" x14ac:dyDescent="0.25">
      <c r="A240">
        <v>61378</v>
      </c>
      <c r="C240">
        <f t="shared" si="7"/>
        <v>-6.0303048637507427E-2</v>
      </c>
      <c r="D240" t="str">
        <f t="shared" si="6"/>
        <v>Normal</v>
      </c>
    </row>
    <row r="241" spans="1:4" x14ac:dyDescent="0.25">
      <c r="A241">
        <v>32087</v>
      </c>
      <c r="C241">
        <f t="shared" si="7"/>
        <v>-0.99559044846375566</v>
      </c>
      <c r="D241" t="str">
        <f t="shared" si="6"/>
        <v>Normal</v>
      </c>
    </row>
    <row r="242" spans="1:4" x14ac:dyDescent="0.25">
      <c r="A242">
        <v>21258</v>
      </c>
      <c r="C242">
        <f t="shared" si="7"/>
        <v>-1.3413699456717187</v>
      </c>
      <c r="D242" t="str">
        <f t="shared" si="6"/>
        <v>Normal</v>
      </c>
    </row>
    <row r="243" spans="1:4" x14ac:dyDescent="0.25">
      <c r="A243">
        <v>55408</v>
      </c>
      <c r="C243">
        <f t="shared" si="7"/>
        <v>-0.25093040096288732</v>
      </c>
      <c r="D243" t="str">
        <f t="shared" si="6"/>
        <v>Normal</v>
      </c>
    </row>
    <row r="244" spans="1:4" x14ac:dyDescent="0.25">
      <c r="A244">
        <v>22969</v>
      </c>
      <c r="C244">
        <f t="shared" si="7"/>
        <v>-1.2867362103570243</v>
      </c>
      <c r="D244" t="str">
        <f t="shared" si="6"/>
        <v>Normal</v>
      </c>
    </row>
    <row r="245" spans="1:4" x14ac:dyDescent="0.25">
      <c r="A245">
        <v>21575</v>
      </c>
      <c r="C245">
        <f t="shared" si="7"/>
        <v>-1.3312478567793995</v>
      </c>
      <c r="D245" t="str">
        <f t="shared" si="6"/>
        <v>Normal</v>
      </c>
    </row>
    <row r="246" spans="1:4" x14ac:dyDescent="0.25">
      <c r="A246">
        <v>34381</v>
      </c>
      <c r="C246">
        <f t="shared" si="7"/>
        <v>-0.92234101023353432</v>
      </c>
      <c r="D246" t="str">
        <f t="shared" si="6"/>
        <v>Normal</v>
      </c>
    </row>
    <row r="247" spans="1:4" x14ac:dyDescent="0.25">
      <c r="A247">
        <v>17242</v>
      </c>
      <c r="C247">
        <f t="shared" si="7"/>
        <v>-1.4696043588942858</v>
      </c>
      <c r="D247" t="str">
        <f t="shared" si="6"/>
        <v>Normal</v>
      </c>
    </row>
    <row r="248" spans="1:4" x14ac:dyDescent="0.25">
      <c r="A248">
        <v>78150</v>
      </c>
      <c r="C248">
        <f t="shared" si="7"/>
        <v>0.47524166714160004</v>
      </c>
      <c r="D248" t="str">
        <f t="shared" si="6"/>
        <v>Normal</v>
      </c>
    </row>
    <row r="249" spans="1:4" x14ac:dyDescent="0.25">
      <c r="A249">
        <v>32591</v>
      </c>
      <c r="C249">
        <f t="shared" si="7"/>
        <v>-0.9794972850513618</v>
      </c>
      <c r="D249" t="str">
        <f t="shared" si="6"/>
        <v>Normal</v>
      </c>
    </row>
    <row r="250" spans="1:4" x14ac:dyDescent="0.25">
      <c r="A250">
        <v>58749</v>
      </c>
      <c r="C250">
        <f t="shared" si="7"/>
        <v>-0.14424933159620487</v>
      </c>
      <c r="D250" t="str">
        <f t="shared" si="6"/>
        <v>Normal</v>
      </c>
    </row>
    <row r="251" spans="1:4" x14ac:dyDescent="0.25">
      <c r="A251">
        <v>68203</v>
      </c>
      <c r="C251">
        <f t="shared" si="7"/>
        <v>0.15762520590532636</v>
      </c>
      <c r="D251" t="str">
        <f t="shared" si="6"/>
        <v>Normal</v>
      </c>
    </row>
    <row r="252" spans="1:4" x14ac:dyDescent="0.25">
      <c r="A252">
        <v>57215</v>
      </c>
      <c r="C252">
        <f t="shared" si="7"/>
        <v>-0.19323130118868942</v>
      </c>
      <c r="D252" t="str">
        <f t="shared" si="6"/>
        <v>Normal</v>
      </c>
    </row>
    <row r="253" spans="1:4" x14ac:dyDescent="0.25">
      <c r="A253">
        <v>39525</v>
      </c>
      <c r="C253">
        <f t="shared" si="7"/>
        <v>-0.75808856461179996</v>
      </c>
      <c r="D253" t="str">
        <f t="shared" si="6"/>
        <v>Normal</v>
      </c>
    </row>
    <row r="254" spans="1:4" x14ac:dyDescent="0.25">
      <c r="A254">
        <v>77948</v>
      </c>
      <c r="C254">
        <f t="shared" si="7"/>
        <v>0.46879162942472785</v>
      </c>
      <c r="D254" t="str">
        <f t="shared" si="6"/>
        <v>Normal</v>
      </c>
    </row>
    <row r="255" spans="1:4" x14ac:dyDescent="0.25">
      <c r="A255">
        <v>32930</v>
      </c>
      <c r="C255">
        <f t="shared" si="7"/>
        <v>-0.96867271680373979</v>
      </c>
      <c r="D255" t="str">
        <f t="shared" si="6"/>
        <v>Normal</v>
      </c>
    </row>
    <row r="256" spans="1:4" x14ac:dyDescent="0.25">
      <c r="A256">
        <v>60168</v>
      </c>
      <c r="C256">
        <f t="shared" si="7"/>
        <v>-9.8939413179167338E-2</v>
      </c>
      <c r="D256" t="str">
        <f t="shared" si="6"/>
        <v>Normal</v>
      </c>
    </row>
    <row r="257" spans="1:4" x14ac:dyDescent="0.25">
      <c r="A257">
        <v>36974</v>
      </c>
      <c r="C257">
        <f t="shared" si="7"/>
        <v>-0.8395442389471508</v>
      </c>
      <c r="D257" t="str">
        <f t="shared" si="6"/>
        <v>Normal</v>
      </c>
    </row>
    <row r="258" spans="1:4" x14ac:dyDescent="0.25">
      <c r="A258">
        <v>22724</v>
      </c>
      <c r="C258">
        <f t="shared" si="7"/>
        <v>-1.2945592759047158</v>
      </c>
      <c r="D258" t="str">
        <f t="shared" ref="D258:D321" si="8">IF(ABS(C258) &gt; 2.5, "Outlier", "Normal")</f>
        <v>Normal</v>
      </c>
    </row>
    <row r="259" spans="1:4" x14ac:dyDescent="0.25">
      <c r="A259">
        <v>53628</v>
      </c>
      <c r="C259">
        <f t="shared" ref="C259:C322" si="9">(A259 - $B$5) / $B$7</f>
        <v>-0.30776736698284984</v>
      </c>
      <c r="D259" t="str">
        <f t="shared" si="8"/>
        <v>Normal</v>
      </c>
    </row>
    <row r="260" spans="1:4" x14ac:dyDescent="0.25">
      <c r="A260">
        <v>31076</v>
      </c>
      <c r="C260">
        <f t="shared" si="9"/>
        <v>-1.027872567927903</v>
      </c>
      <c r="D260" t="str">
        <f t="shared" si="8"/>
        <v>Normal</v>
      </c>
    </row>
    <row r="261" spans="1:4" x14ac:dyDescent="0.25">
      <c r="A261">
        <v>69102</v>
      </c>
      <c r="C261">
        <f t="shared" si="9"/>
        <v>0.18633106683338607</v>
      </c>
      <c r="D261" t="str">
        <f t="shared" si="8"/>
        <v>Normal</v>
      </c>
    </row>
    <row r="262" spans="1:4" x14ac:dyDescent="0.25">
      <c r="A262">
        <v>78534</v>
      </c>
      <c r="C262">
        <f t="shared" si="9"/>
        <v>0.4875031249796144</v>
      </c>
      <c r="D262" t="str">
        <f t="shared" si="8"/>
        <v>Normal</v>
      </c>
    </row>
    <row r="263" spans="1:4" x14ac:dyDescent="0.25">
      <c r="A263">
        <v>67044</v>
      </c>
      <c r="C263">
        <f t="shared" si="9"/>
        <v>0.12061731623277774</v>
      </c>
      <c r="D263" t="str">
        <f t="shared" si="8"/>
        <v>Normal</v>
      </c>
    </row>
    <row r="264" spans="1:4" x14ac:dyDescent="0.25">
      <c r="A264">
        <v>20340</v>
      </c>
      <c r="C264">
        <f t="shared" si="9"/>
        <v>-1.3706824933157218</v>
      </c>
      <c r="D264" t="str">
        <f t="shared" si="8"/>
        <v>Normal</v>
      </c>
    </row>
    <row r="265" spans="1:4" x14ac:dyDescent="0.25">
      <c r="A265">
        <v>49587</v>
      </c>
      <c r="C265">
        <f t="shared" si="9"/>
        <v>-0.43680005220007934</v>
      </c>
      <c r="D265" t="str">
        <f t="shared" si="8"/>
        <v>Normal</v>
      </c>
    </row>
    <row r="266" spans="1:4" x14ac:dyDescent="0.25">
      <c r="A266">
        <v>60473</v>
      </c>
      <c r="C266">
        <f t="shared" si="9"/>
        <v>-8.9200494844286118E-2</v>
      </c>
      <c r="D266" t="str">
        <f t="shared" si="8"/>
        <v>Normal</v>
      </c>
    </row>
    <row r="267" spans="1:4" x14ac:dyDescent="0.25">
      <c r="A267">
        <v>89729</v>
      </c>
      <c r="C267">
        <f t="shared" si="9"/>
        <v>0.84496932418943482</v>
      </c>
      <c r="D267" t="str">
        <f t="shared" si="8"/>
        <v>Normal</v>
      </c>
    </row>
    <row r="268" spans="1:4" x14ac:dyDescent="0.25">
      <c r="A268">
        <v>60306</v>
      </c>
      <c r="C268">
        <f t="shared" si="9"/>
        <v>-9.4532951768630913E-2</v>
      </c>
      <c r="D268" t="str">
        <f t="shared" si="8"/>
        <v>Normal</v>
      </c>
    </row>
    <row r="269" spans="1:4" x14ac:dyDescent="0.25">
      <c r="A269">
        <v>38496</v>
      </c>
      <c r="C269">
        <f t="shared" si="9"/>
        <v>-0.7909454399121042</v>
      </c>
      <c r="D269" t="str">
        <f t="shared" si="8"/>
        <v>Normal</v>
      </c>
    </row>
    <row r="270" spans="1:4" x14ac:dyDescent="0.25">
      <c r="A270">
        <v>21294</v>
      </c>
      <c r="C270">
        <f t="shared" si="9"/>
        <v>-1.3402204339994048</v>
      </c>
      <c r="D270" t="str">
        <f t="shared" si="8"/>
        <v>Normal</v>
      </c>
    </row>
    <row r="271" spans="1:4" x14ac:dyDescent="0.25">
      <c r="A271">
        <v>35364</v>
      </c>
      <c r="C271">
        <f t="shared" si="9"/>
        <v>-0.89095295540340902</v>
      </c>
      <c r="D271" t="str">
        <f t="shared" si="8"/>
        <v>Normal</v>
      </c>
    </row>
    <row r="272" spans="1:4" x14ac:dyDescent="0.25">
      <c r="A272">
        <v>74750</v>
      </c>
      <c r="C272">
        <f t="shared" si="9"/>
        <v>0.36667667586751435</v>
      </c>
      <c r="D272" t="str">
        <f t="shared" si="8"/>
        <v>Normal</v>
      </c>
    </row>
    <row r="273" spans="1:4" x14ac:dyDescent="0.25">
      <c r="A273">
        <v>38963</v>
      </c>
      <c r="C273">
        <f t="shared" si="9"/>
        <v>-0.77603371905181062</v>
      </c>
      <c r="D273" t="str">
        <f t="shared" si="8"/>
        <v>Normal</v>
      </c>
    </row>
    <row r="274" spans="1:4" x14ac:dyDescent="0.25">
      <c r="A274">
        <v>48401</v>
      </c>
      <c r="C274">
        <f t="shared" si="9"/>
        <v>-0.47467007562686336</v>
      </c>
      <c r="D274" t="str">
        <f t="shared" si="8"/>
        <v>Normal</v>
      </c>
    </row>
    <row r="275" spans="1:4" x14ac:dyDescent="0.25">
      <c r="A275">
        <v>58089</v>
      </c>
      <c r="C275">
        <f t="shared" si="9"/>
        <v>-0.16532371225529208</v>
      </c>
      <c r="D275" t="str">
        <f t="shared" si="8"/>
        <v>Normal</v>
      </c>
    </row>
    <row r="276" spans="1:4" x14ac:dyDescent="0.25">
      <c r="A276">
        <v>82462</v>
      </c>
      <c r="C276">
        <f t="shared" si="9"/>
        <v>0.61292762078096985</v>
      </c>
      <c r="D276" t="str">
        <f t="shared" si="8"/>
        <v>Normal</v>
      </c>
    </row>
    <row r="277" spans="1:4" x14ac:dyDescent="0.25">
      <c r="A277">
        <v>78599</v>
      </c>
      <c r="C277">
        <f t="shared" si="9"/>
        <v>0.48957863216573666</v>
      </c>
      <c r="D277" t="str">
        <f t="shared" si="8"/>
        <v>Normal</v>
      </c>
    </row>
    <row r="278" spans="1:4" x14ac:dyDescent="0.25">
      <c r="A278">
        <v>19101</v>
      </c>
      <c r="C278">
        <f t="shared" si="9"/>
        <v>-1.41024485337119</v>
      </c>
      <c r="D278" t="str">
        <f t="shared" si="8"/>
        <v>Normal</v>
      </c>
    </row>
    <row r="279" spans="1:4" x14ac:dyDescent="0.25">
      <c r="A279">
        <v>62109</v>
      </c>
      <c r="C279">
        <f t="shared" si="9"/>
        <v>-3.6961575513579002E-2</v>
      </c>
      <c r="D279" t="str">
        <f t="shared" si="8"/>
        <v>Normal</v>
      </c>
    </row>
    <row r="280" spans="1:4" x14ac:dyDescent="0.25">
      <c r="A280">
        <v>75550</v>
      </c>
      <c r="C280">
        <f t="shared" si="9"/>
        <v>0.39222137969671095</v>
      </c>
      <c r="D280" t="str">
        <f t="shared" si="8"/>
        <v>Normal</v>
      </c>
    </row>
    <row r="281" spans="1:4" x14ac:dyDescent="0.25">
      <c r="A281">
        <v>50293</v>
      </c>
      <c r="C281">
        <f t="shared" si="9"/>
        <v>-0.41425685107081328</v>
      </c>
      <c r="D281" t="str">
        <f t="shared" si="8"/>
        <v>Normal</v>
      </c>
    </row>
    <row r="282" spans="1:4" x14ac:dyDescent="0.25">
      <c r="A282">
        <v>71478</v>
      </c>
      <c r="C282">
        <f t="shared" si="9"/>
        <v>0.2621988372061001</v>
      </c>
      <c r="D282" t="str">
        <f t="shared" si="8"/>
        <v>Normal</v>
      </c>
    </row>
    <row r="283" spans="1:4" x14ac:dyDescent="0.25">
      <c r="A283">
        <v>73361</v>
      </c>
      <c r="C283">
        <f t="shared" si="9"/>
        <v>0.32232468384407165</v>
      </c>
      <c r="D283" t="str">
        <f t="shared" si="8"/>
        <v>Normal</v>
      </c>
    </row>
    <row r="284" spans="1:4" x14ac:dyDescent="0.25">
      <c r="A284">
        <v>20672</v>
      </c>
      <c r="C284">
        <f t="shared" si="9"/>
        <v>-1.3600814412266051</v>
      </c>
      <c r="D284" t="str">
        <f t="shared" si="8"/>
        <v>Normal</v>
      </c>
    </row>
    <row r="285" spans="1:4" x14ac:dyDescent="0.25">
      <c r="A285">
        <v>71785</v>
      </c>
      <c r="C285">
        <f t="shared" si="9"/>
        <v>0.27200161730055428</v>
      </c>
      <c r="D285" t="str">
        <f t="shared" si="8"/>
        <v>Normal</v>
      </c>
    </row>
    <row r="286" spans="1:4" x14ac:dyDescent="0.25">
      <c r="A286">
        <v>19234</v>
      </c>
      <c r="C286">
        <f t="shared" si="9"/>
        <v>-1.4059980463595863</v>
      </c>
      <c r="D286" t="str">
        <f t="shared" si="8"/>
        <v>Normal</v>
      </c>
    </row>
    <row r="287" spans="1:4" x14ac:dyDescent="0.25">
      <c r="A287">
        <v>80885</v>
      </c>
      <c r="C287">
        <f t="shared" si="9"/>
        <v>0.562572623357666</v>
      </c>
      <c r="D287" t="str">
        <f t="shared" si="8"/>
        <v>Normal</v>
      </c>
    </row>
    <row r="288" spans="1:4" x14ac:dyDescent="0.25">
      <c r="A288">
        <v>40476</v>
      </c>
      <c r="C288">
        <f t="shared" si="9"/>
        <v>-0.72772229793484255</v>
      </c>
      <c r="D288" t="str">
        <f t="shared" si="8"/>
        <v>Normal</v>
      </c>
    </row>
    <row r="289" spans="1:4" x14ac:dyDescent="0.25">
      <c r="A289">
        <v>36650</v>
      </c>
      <c r="C289">
        <f t="shared" si="9"/>
        <v>-0.8498898439979754</v>
      </c>
      <c r="D289" t="str">
        <f t="shared" si="8"/>
        <v>Normal</v>
      </c>
    </row>
    <row r="290" spans="1:4" x14ac:dyDescent="0.25">
      <c r="A290">
        <v>116867</v>
      </c>
      <c r="C290">
        <f t="shared" si="9"/>
        <v>1.7115095398353577</v>
      </c>
      <c r="D290" t="str">
        <f t="shared" si="8"/>
        <v>Normal</v>
      </c>
    </row>
    <row r="291" spans="1:4" x14ac:dyDescent="0.25">
      <c r="A291">
        <v>73358</v>
      </c>
      <c r="C291">
        <f t="shared" si="9"/>
        <v>0.32222889120471221</v>
      </c>
      <c r="D291" t="str">
        <f t="shared" si="8"/>
        <v>Normal</v>
      </c>
    </row>
    <row r="292" spans="1:4" x14ac:dyDescent="0.25">
      <c r="A292">
        <v>17431</v>
      </c>
      <c r="C292">
        <f t="shared" si="9"/>
        <v>-1.4635694226146381</v>
      </c>
      <c r="D292" t="str">
        <f t="shared" si="8"/>
        <v>Normal</v>
      </c>
    </row>
    <row r="293" spans="1:4" x14ac:dyDescent="0.25">
      <c r="A293">
        <v>19744</v>
      </c>
      <c r="C293">
        <f t="shared" si="9"/>
        <v>-1.3897132976684734</v>
      </c>
      <c r="D293" t="str">
        <f t="shared" si="8"/>
        <v>Normal</v>
      </c>
    </row>
    <row r="294" spans="1:4" x14ac:dyDescent="0.25">
      <c r="A294">
        <v>60867</v>
      </c>
      <c r="C294">
        <f t="shared" si="9"/>
        <v>-7.6619728208406776E-2</v>
      </c>
      <c r="D294" t="str">
        <f t="shared" si="8"/>
        <v>Normal</v>
      </c>
    </row>
    <row r="295" spans="1:4" x14ac:dyDescent="0.25">
      <c r="A295">
        <v>41287</v>
      </c>
      <c r="C295">
        <f t="shared" si="9"/>
        <v>-0.70182635442799446</v>
      </c>
      <c r="D295" t="str">
        <f t="shared" si="8"/>
        <v>Normal</v>
      </c>
    </row>
    <row r="296" spans="1:4" x14ac:dyDescent="0.25">
      <c r="A296">
        <v>20333</v>
      </c>
      <c r="C296">
        <f t="shared" si="9"/>
        <v>-1.3709060094742274</v>
      </c>
      <c r="D296" t="str">
        <f t="shared" si="8"/>
        <v>Normal</v>
      </c>
    </row>
    <row r="297" spans="1:4" x14ac:dyDescent="0.25">
      <c r="A297">
        <v>42379</v>
      </c>
      <c r="C297">
        <f t="shared" si="9"/>
        <v>-0.66695783370114103</v>
      </c>
      <c r="D297" t="str">
        <f t="shared" si="8"/>
        <v>Normal</v>
      </c>
    </row>
    <row r="298" spans="1:4" x14ac:dyDescent="0.25">
      <c r="A298">
        <v>18004</v>
      </c>
      <c r="C298">
        <f t="shared" si="9"/>
        <v>-1.4452730284969759</v>
      </c>
      <c r="D298" t="str">
        <f t="shared" si="8"/>
        <v>Normal</v>
      </c>
    </row>
    <row r="299" spans="1:4" x14ac:dyDescent="0.25">
      <c r="A299">
        <v>38581</v>
      </c>
      <c r="C299">
        <f t="shared" si="9"/>
        <v>-0.78823131513025202</v>
      </c>
      <c r="D299" t="str">
        <f t="shared" si="8"/>
        <v>Normal</v>
      </c>
    </row>
    <row r="300" spans="1:4" x14ac:dyDescent="0.25">
      <c r="A300">
        <v>22157</v>
      </c>
      <c r="C300">
        <f t="shared" si="9"/>
        <v>-1.312664084743659</v>
      </c>
      <c r="D300" t="str">
        <f t="shared" si="8"/>
        <v>Normal</v>
      </c>
    </row>
    <row r="301" spans="1:4" x14ac:dyDescent="0.25">
      <c r="A301">
        <v>62605</v>
      </c>
      <c r="C301">
        <f t="shared" si="9"/>
        <v>-2.1123859139477084E-2</v>
      </c>
      <c r="D301" t="str">
        <f t="shared" si="8"/>
        <v>Normal</v>
      </c>
    </row>
    <row r="302" spans="1:4" x14ac:dyDescent="0.25">
      <c r="A302">
        <v>75651</v>
      </c>
      <c r="C302">
        <f t="shared" si="9"/>
        <v>0.39544639855514702</v>
      </c>
      <c r="D302" t="str">
        <f t="shared" si="8"/>
        <v>Normal</v>
      </c>
    </row>
    <row r="303" spans="1:4" x14ac:dyDescent="0.25">
      <c r="A303">
        <v>82793</v>
      </c>
      <c r="C303">
        <f t="shared" si="9"/>
        <v>0.62349674199030003</v>
      </c>
      <c r="D303" t="str">
        <f t="shared" si="8"/>
        <v>Normal</v>
      </c>
    </row>
    <row r="304" spans="1:4" x14ac:dyDescent="0.25">
      <c r="A304">
        <v>54363</v>
      </c>
      <c r="C304">
        <f t="shared" si="9"/>
        <v>-0.28429817033977539</v>
      </c>
      <c r="D304" t="str">
        <f t="shared" si="8"/>
        <v>Normal</v>
      </c>
    </row>
    <row r="305" spans="1:4" x14ac:dyDescent="0.25">
      <c r="A305">
        <v>44373</v>
      </c>
      <c r="C305">
        <f t="shared" si="9"/>
        <v>-0.60328765940686835</v>
      </c>
      <c r="D305" t="str">
        <f t="shared" si="8"/>
        <v>Normal</v>
      </c>
    </row>
    <row r="306" spans="1:4" x14ac:dyDescent="0.25">
      <c r="A306">
        <v>62275</v>
      </c>
      <c r="C306">
        <f t="shared" si="9"/>
        <v>-3.1661049469020701E-2</v>
      </c>
      <c r="D306" t="str">
        <f t="shared" si="8"/>
        <v>Normal</v>
      </c>
    </row>
    <row r="307" spans="1:4" x14ac:dyDescent="0.25">
      <c r="A307">
        <v>25571</v>
      </c>
      <c r="C307">
        <f t="shared" si="9"/>
        <v>-1.2036520611525623</v>
      </c>
      <c r="D307" t="str">
        <f t="shared" si="8"/>
        <v>Normal</v>
      </c>
    </row>
    <row r="308" spans="1:4" x14ac:dyDescent="0.25">
      <c r="A308">
        <v>38460</v>
      </c>
      <c r="C308">
        <f t="shared" si="9"/>
        <v>-0.79209495158441801</v>
      </c>
      <c r="D308" t="str">
        <f t="shared" si="8"/>
        <v>Normal</v>
      </c>
    </row>
    <row r="309" spans="1:4" x14ac:dyDescent="0.25">
      <c r="A309">
        <v>17960</v>
      </c>
      <c r="C309">
        <f t="shared" si="9"/>
        <v>-1.4466779872075819</v>
      </c>
      <c r="D309" t="str">
        <f t="shared" si="8"/>
        <v>Normal</v>
      </c>
    </row>
    <row r="310" spans="1:4" x14ac:dyDescent="0.25">
      <c r="A310">
        <v>40479</v>
      </c>
      <c r="C310">
        <f t="shared" si="9"/>
        <v>-0.72762650529548301</v>
      </c>
      <c r="D310" t="str">
        <f t="shared" si="8"/>
        <v>Normal</v>
      </c>
    </row>
    <row r="311" spans="1:4" x14ac:dyDescent="0.25">
      <c r="A311">
        <v>21473</v>
      </c>
      <c r="C311">
        <f t="shared" si="9"/>
        <v>-1.3345048065176222</v>
      </c>
      <c r="D311" t="str">
        <f t="shared" si="8"/>
        <v>Normal</v>
      </c>
    </row>
    <row r="312" spans="1:4" x14ac:dyDescent="0.25">
      <c r="A312">
        <v>20004</v>
      </c>
      <c r="C312">
        <f t="shared" si="9"/>
        <v>-1.3814112689239844</v>
      </c>
      <c r="D312" t="str">
        <f t="shared" si="8"/>
        <v>Normal</v>
      </c>
    </row>
    <row r="313" spans="1:4" x14ac:dyDescent="0.25">
      <c r="A313">
        <v>90738</v>
      </c>
      <c r="C313">
        <f t="shared" si="9"/>
        <v>0.87718758189400903</v>
      </c>
      <c r="D313" t="str">
        <f t="shared" si="8"/>
        <v>Normal</v>
      </c>
    </row>
    <row r="314" spans="1:4" x14ac:dyDescent="0.25">
      <c r="A314">
        <v>79319</v>
      </c>
      <c r="C314">
        <f t="shared" si="9"/>
        <v>0.51256886561201365</v>
      </c>
      <c r="D314" t="str">
        <f t="shared" si="8"/>
        <v>Normal</v>
      </c>
    </row>
    <row r="315" spans="1:4" x14ac:dyDescent="0.25">
      <c r="A315">
        <v>38243</v>
      </c>
      <c r="C315">
        <f t="shared" si="9"/>
        <v>-0.79902395249808766</v>
      </c>
      <c r="D315" t="str">
        <f t="shared" si="8"/>
        <v>Normal</v>
      </c>
    </row>
    <row r="316" spans="1:4" x14ac:dyDescent="0.25">
      <c r="A316">
        <v>61447</v>
      </c>
      <c r="C316">
        <f t="shared" si="9"/>
        <v>-5.8099817932239214E-2</v>
      </c>
      <c r="D316" t="str">
        <f t="shared" si="8"/>
        <v>Normal</v>
      </c>
    </row>
    <row r="317" spans="1:4" x14ac:dyDescent="0.25">
      <c r="A317">
        <v>66693</v>
      </c>
      <c r="C317">
        <f t="shared" si="9"/>
        <v>0.10940957742771772</v>
      </c>
      <c r="D317" t="str">
        <f t="shared" si="8"/>
        <v>Normal</v>
      </c>
    </row>
    <row r="318" spans="1:4" x14ac:dyDescent="0.25">
      <c r="A318">
        <v>62045</v>
      </c>
      <c r="C318">
        <f t="shared" si="9"/>
        <v>-3.9005151819914728E-2</v>
      </c>
      <c r="D318" t="str">
        <f t="shared" si="8"/>
        <v>Normal</v>
      </c>
    </row>
    <row r="319" spans="1:4" x14ac:dyDescent="0.25">
      <c r="A319">
        <v>72894</v>
      </c>
      <c r="C319">
        <f t="shared" si="9"/>
        <v>0.30741296298377813</v>
      </c>
      <c r="D319" t="str">
        <f t="shared" si="8"/>
        <v>Normal</v>
      </c>
    </row>
    <row r="320" spans="1:4" x14ac:dyDescent="0.25">
      <c r="A320">
        <v>18976</v>
      </c>
      <c r="C320">
        <f t="shared" si="9"/>
        <v>-1.4142362133445021</v>
      </c>
      <c r="D320" t="str">
        <f t="shared" si="8"/>
        <v>Normal</v>
      </c>
    </row>
    <row r="321" spans="1:4" x14ac:dyDescent="0.25">
      <c r="A321">
        <v>83056</v>
      </c>
      <c r="C321">
        <f t="shared" si="9"/>
        <v>0.6318945633741484</v>
      </c>
      <c r="D321" t="str">
        <f t="shared" si="8"/>
        <v>Normal</v>
      </c>
    </row>
    <row r="322" spans="1:4" x14ac:dyDescent="0.25">
      <c r="A322">
        <v>18799</v>
      </c>
      <c r="C322">
        <f t="shared" si="9"/>
        <v>-1.4198879790667118</v>
      </c>
      <c r="D322" t="str">
        <f t="shared" ref="D322:D385" si="10">IF(ABS(C322) &gt; 2.5, "Outlier", "Normal")</f>
        <v>Normal</v>
      </c>
    </row>
    <row r="323" spans="1:4" x14ac:dyDescent="0.25">
      <c r="A323">
        <v>22573</v>
      </c>
      <c r="C323">
        <f t="shared" ref="C323:C386" si="11">(A323 - $B$5) / $B$7</f>
        <v>-1.2993808387524768</v>
      </c>
      <c r="D323" t="str">
        <f t="shared" si="10"/>
        <v>Normal</v>
      </c>
    </row>
    <row r="324" spans="1:4" x14ac:dyDescent="0.25">
      <c r="A324">
        <v>77107</v>
      </c>
      <c r="C324">
        <f t="shared" si="11"/>
        <v>0.44193775952428493</v>
      </c>
      <c r="D324" t="str">
        <f t="shared" si="10"/>
        <v>Normal</v>
      </c>
    </row>
    <row r="325" spans="1:4" x14ac:dyDescent="0.25">
      <c r="A325">
        <v>58710</v>
      </c>
      <c r="C325">
        <f t="shared" si="11"/>
        <v>-0.1454946359078782</v>
      </c>
      <c r="D325" t="str">
        <f t="shared" si="10"/>
        <v>Normal</v>
      </c>
    </row>
    <row r="326" spans="1:4" x14ac:dyDescent="0.25">
      <c r="A326">
        <v>69145</v>
      </c>
      <c r="C326">
        <f t="shared" si="11"/>
        <v>0.1877040946642054</v>
      </c>
      <c r="D326" t="str">
        <f t="shared" si="10"/>
        <v>Normal</v>
      </c>
    </row>
    <row r="327" spans="1:4" x14ac:dyDescent="0.25">
      <c r="A327">
        <v>66999</v>
      </c>
      <c r="C327">
        <f t="shared" si="11"/>
        <v>0.11918042664238543</v>
      </c>
      <c r="D327" t="str">
        <f t="shared" si="10"/>
        <v>Normal</v>
      </c>
    </row>
    <row r="328" spans="1:4" x14ac:dyDescent="0.25">
      <c r="A328">
        <v>71536</v>
      </c>
      <c r="C328">
        <f t="shared" si="11"/>
        <v>0.26405082823371684</v>
      </c>
      <c r="D328" t="str">
        <f t="shared" si="10"/>
        <v>Normal</v>
      </c>
    </row>
    <row r="329" spans="1:4" x14ac:dyDescent="0.25">
      <c r="A329">
        <v>79859</v>
      </c>
      <c r="C329">
        <f t="shared" si="11"/>
        <v>0.52981154069672132</v>
      </c>
      <c r="D329" t="str">
        <f t="shared" si="10"/>
        <v>Normal</v>
      </c>
    </row>
    <row r="330" spans="1:4" x14ac:dyDescent="0.25">
      <c r="A330">
        <v>58551</v>
      </c>
      <c r="C330">
        <f t="shared" si="11"/>
        <v>-0.15057164579393104</v>
      </c>
      <c r="D330" t="str">
        <f t="shared" si="10"/>
        <v>Normal</v>
      </c>
    </row>
    <row r="331" spans="1:4" x14ac:dyDescent="0.25">
      <c r="A331">
        <v>63286</v>
      </c>
      <c r="C331">
        <f t="shared" si="11"/>
        <v>6.2106999512654933E-4</v>
      </c>
      <c r="D331" t="str">
        <f t="shared" si="10"/>
        <v>Normal</v>
      </c>
    </row>
    <row r="332" spans="1:4" x14ac:dyDescent="0.25">
      <c r="A332">
        <v>66478</v>
      </c>
      <c r="C332">
        <f t="shared" si="11"/>
        <v>0.10254443827362113</v>
      </c>
      <c r="D332" t="str">
        <f t="shared" si="10"/>
        <v>Normal</v>
      </c>
    </row>
    <row r="333" spans="1:4" x14ac:dyDescent="0.25">
      <c r="A333">
        <v>42790</v>
      </c>
      <c r="C333">
        <f t="shared" si="11"/>
        <v>-0.65383424210889118</v>
      </c>
      <c r="D333" t="str">
        <f t="shared" si="10"/>
        <v>Normal</v>
      </c>
    </row>
    <row r="334" spans="1:4" x14ac:dyDescent="0.25">
      <c r="A334">
        <v>57792</v>
      </c>
      <c r="C334">
        <f t="shared" si="11"/>
        <v>-0.17480718355188135</v>
      </c>
      <c r="D334" t="str">
        <f t="shared" si="10"/>
        <v>Normal</v>
      </c>
    </row>
    <row r="335" spans="1:4" x14ac:dyDescent="0.25">
      <c r="A335">
        <v>22897</v>
      </c>
      <c r="C335">
        <f t="shared" si="11"/>
        <v>-1.289035233701652</v>
      </c>
      <c r="D335" t="str">
        <f t="shared" si="10"/>
        <v>Normal</v>
      </c>
    </row>
    <row r="336" spans="1:4" x14ac:dyDescent="0.25">
      <c r="A336">
        <v>29573</v>
      </c>
      <c r="C336">
        <f t="shared" si="11"/>
        <v>-1.0758646802470062</v>
      </c>
      <c r="D336" t="str">
        <f t="shared" si="10"/>
        <v>Normal</v>
      </c>
    </row>
    <row r="337" spans="1:4" x14ac:dyDescent="0.25">
      <c r="A337">
        <v>54030</v>
      </c>
      <c r="C337">
        <f t="shared" si="11"/>
        <v>-0.29493115330867853</v>
      </c>
      <c r="D337" t="str">
        <f t="shared" si="10"/>
        <v>Normal</v>
      </c>
    </row>
    <row r="338" spans="1:4" x14ac:dyDescent="0.25">
      <c r="A338">
        <v>33823</v>
      </c>
      <c r="C338">
        <f t="shared" si="11"/>
        <v>-0.94015844115439906</v>
      </c>
      <c r="D338" t="str">
        <f t="shared" si="10"/>
        <v>Normal</v>
      </c>
    </row>
    <row r="339" spans="1:4" x14ac:dyDescent="0.25">
      <c r="A339">
        <v>37496</v>
      </c>
      <c r="C339">
        <f t="shared" si="11"/>
        <v>-0.82287631969859998</v>
      </c>
      <c r="D339" t="str">
        <f t="shared" si="10"/>
        <v>Normal</v>
      </c>
    </row>
    <row r="340" spans="1:4" x14ac:dyDescent="0.25">
      <c r="A340">
        <v>20505</v>
      </c>
      <c r="C340">
        <f t="shared" si="11"/>
        <v>-1.36541389815095</v>
      </c>
      <c r="D340" t="str">
        <f t="shared" si="10"/>
        <v>Normal</v>
      </c>
    </row>
    <row r="341" spans="1:4" x14ac:dyDescent="0.25">
      <c r="A341">
        <v>79221</v>
      </c>
      <c r="C341">
        <f t="shared" si="11"/>
        <v>0.50943963939293702</v>
      </c>
      <c r="D341" t="str">
        <f t="shared" si="10"/>
        <v>Normal</v>
      </c>
    </row>
    <row r="342" spans="1:4" x14ac:dyDescent="0.25">
      <c r="A342">
        <v>31529</v>
      </c>
      <c r="C342">
        <f t="shared" si="11"/>
        <v>-1.0134078793846204</v>
      </c>
      <c r="D342" t="str">
        <f t="shared" si="10"/>
        <v>Normal</v>
      </c>
    </row>
    <row r="343" spans="1:4" x14ac:dyDescent="0.25">
      <c r="A343">
        <v>55883</v>
      </c>
      <c r="C343">
        <f t="shared" si="11"/>
        <v>-0.2357632330643018</v>
      </c>
      <c r="D343" t="str">
        <f t="shared" si="10"/>
        <v>Normal</v>
      </c>
    </row>
    <row r="344" spans="1:4" x14ac:dyDescent="0.25">
      <c r="A344">
        <v>32405</v>
      </c>
      <c r="C344">
        <f t="shared" si="11"/>
        <v>-0.98543642869165005</v>
      </c>
      <c r="D344" t="str">
        <f t="shared" si="10"/>
        <v>Normal</v>
      </c>
    </row>
    <row r="345" spans="1:4" x14ac:dyDescent="0.25">
      <c r="A345">
        <v>85465</v>
      </c>
      <c r="C345">
        <f t="shared" si="11"/>
        <v>0.70881605277981674</v>
      </c>
      <c r="D345" t="str">
        <f t="shared" si="10"/>
        <v>Normal</v>
      </c>
    </row>
    <row r="346" spans="1:4" x14ac:dyDescent="0.25">
      <c r="A346">
        <v>55151</v>
      </c>
      <c r="C346">
        <f t="shared" si="11"/>
        <v>-0.25913663706801671</v>
      </c>
      <c r="D346" t="str">
        <f t="shared" si="10"/>
        <v>Normal</v>
      </c>
    </row>
    <row r="347" spans="1:4" x14ac:dyDescent="0.25">
      <c r="A347">
        <v>72526</v>
      </c>
      <c r="C347">
        <f t="shared" si="11"/>
        <v>0.29566239922234766</v>
      </c>
      <c r="D347" t="str">
        <f t="shared" si="10"/>
        <v>Normal</v>
      </c>
    </row>
    <row r="348" spans="1:4" x14ac:dyDescent="0.25">
      <c r="A348">
        <v>56230</v>
      </c>
      <c r="C348">
        <f t="shared" si="11"/>
        <v>-0.22468321777838776</v>
      </c>
      <c r="D348" t="str">
        <f t="shared" si="10"/>
        <v>Normal</v>
      </c>
    </row>
    <row r="349" spans="1:4" x14ac:dyDescent="0.25">
      <c r="A349">
        <v>70116</v>
      </c>
      <c r="C349">
        <f t="shared" si="11"/>
        <v>0.21870897893689281</v>
      </c>
      <c r="D349" t="str">
        <f t="shared" si="10"/>
        <v>Normal</v>
      </c>
    </row>
    <row r="350" spans="1:4" x14ac:dyDescent="0.25">
      <c r="A350">
        <v>63989</v>
      </c>
      <c r="C350">
        <f t="shared" si="11"/>
        <v>2.3068478485033093E-2</v>
      </c>
      <c r="D350" t="str">
        <f t="shared" si="10"/>
        <v>Normal</v>
      </c>
    </row>
    <row r="351" spans="1:4" x14ac:dyDescent="0.25">
      <c r="A351">
        <v>63887</v>
      </c>
      <c r="C351">
        <f t="shared" si="11"/>
        <v>1.9811528746810522E-2</v>
      </c>
      <c r="D351" t="str">
        <f t="shared" si="10"/>
        <v>Normal</v>
      </c>
    </row>
    <row r="352" spans="1:4" x14ac:dyDescent="0.25">
      <c r="A352">
        <v>56264</v>
      </c>
      <c r="C352">
        <f t="shared" si="11"/>
        <v>-0.22359756786564691</v>
      </c>
      <c r="D352" t="str">
        <f t="shared" si="10"/>
        <v>Normal</v>
      </c>
    </row>
    <row r="353" spans="1:4" x14ac:dyDescent="0.25">
      <c r="A353">
        <v>32895</v>
      </c>
      <c r="C353">
        <f t="shared" si="11"/>
        <v>-0.96979029759626711</v>
      </c>
      <c r="D353" t="str">
        <f t="shared" si="10"/>
        <v>Normal</v>
      </c>
    </row>
    <row r="354" spans="1:4" x14ac:dyDescent="0.25">
      <c r="A354">
        <v>51533</v>
      </c>
      <c r="C354">
        <f t="shared" si="11"/>
        <v>-0.37466256013555849</v>
      </c>
      <c r="D354" t="str">
        <f t="shared" si="10"/>
        <v>Normal</v>
      </c>
    </row>
    <row r="355" spans="1:4" x14ac:dyDescent="0.25">
      <c r="A355">
        <v>25209</v>
      </c>
      <c r="C355">
        <f t="shared" si="11"/>
        <v>-1.2152110396352738</v>
      </c>
      <c r="D355" t="str">
        <f t="shared" si="10"/>
        <v>Normal</v>
      </c>
    </row>
    <row r="356" spans="1:4" x14ac:dyDescent="0.25">
      <c r="A356">
        <v>34936</v>
      </c>
      <c r="C356">
        <f t="shared" si="11"/>
        <v>-0.90461937195202924</v>
      </c>
      <c r="D356" t="str">
        <f t="shared" si="10"/>
        <v>Normal</v>
      </c>
    </row>
    <row r="357" spans="1:4" x14ac:dyDescent="0.25">
      <c r="A357">
        <v>71527</v>
      </c>
      <c r="C357">
        <f t="shared" si="11"/>
        <v>0.26376345031563836</v>
      </c>
      <c r="D357" t="str">
        <f t="shared" si="10"/>
        <v>Normal</v>
      </c>
    </row>
    <row r="358" spans="1:4" x14ac:dyDescent="0.25">
      <c r="A358">
        <v>71427</v>
      </c>
      <c r="C358">
        <f t="shared" si="11"/>
        <v>0.26057036233698883</v>
      </c>
      <c r="D358" t="str">
        <f t="shared" si="10"/>
        <v>Normal</v>
      </c>
    </row>
    <row r="359" spans="1:4" x14ac:dyDescent="0.25">
      <c r="A359">
        <v>68590</v>
      </c>
      <c r="C359">
        <f t="shared" si="11"/>
        <v>0.16998245638270024</v>
      </c>
      <c r="D359" t="str">
        <f t="shared" si="10"/>
        <v>Normal</v>
      </c>
    </row>
    <row r="360" spans="1:4" x14ac:dyDescent="0.25">
      <c r="A360">
        <v>99611</v>
      </c>
      <c r="C360">
        <f t="shared" si="11"/>
        <v>1.1605102782395862</v>
      </c>
      <c r="D360" t="str">
        <f t="shared" si="10"/>
        <v>Normal</v>
      </c>
    </row>
    <row r="361" spans="1:4" x14ac:dyDescent="0.25">
      <c r="A361">
        <v>78717</v>
      </c>
      <c r="C361">
        <f t="shared" si="11"/>
        <v>0.49334647598054315</v>
      </c>
      <c r="D361" t="str">
        <f t="shared" si="10"/>
        <v>Normal</v>
      </c>
    </row>
    <row r="362" spans="1:4" x14ac:dyDescent="0.25">
      <c r="A362">
        <v>34432</v>
      </c>
      <c r="C362">
        <f t="shared" si="11"/>
        <v>-0.9207125353644231</v>
      </c>
      <c r="D362" t="str">
        <f t="shared" si="10"/>
        <v>Normal</v>
      </c>
    </row>
    <row r="363" spans="1:4" x14ac:dyDescent="0.25">
      <c r="A363">
        <v>36528</v>
      </c>
      <c r="C363">
        <f t="shared" si="11"/>
        <v>-0.85378541133192787</v>
      </c>
      <c r="D363" t="str">
        <f t="shared" si="10"/>
        <v>Normal</v>
      </c>
    </row>
    <row r="364" spans="1:4" x14ac:dyDescent="0.25">
      <c r="A364">
        <v>59700</v>
      </c>
      <c r="C364">
        <f t="shared" si="11"/>
        <v>-0.11388306491924736</v>
      </c>
      <c r="D364" t="str">
        <f t="shared" si="10"/>
        <v>Normal</v>
      </c>
    </row>
    <row r="365" spans="1:4" x14ac:dyDescent="0.25">
      <c r="A365">
        <v>81433</v>
      </c>
      <c r="C365">
        <f t="shared" si="11"/>
        <v>0.58007074548066573</v>
      </c>
      <c r="D365" t="str">
        <f t="shared" si="10"/>
        <v>Normal</v>
      </c>
    </row>
    <row r="366" spans="1:4" x14ac:dyDescent="0.25">
      <c r="A366">
        <v>57129</v>
      </c>
      <c r="C366">
        <f t="shared" si="11"/>
        <v>-0.19597735685032805</v>
      </c>
      <c r="D366" t="str">
        <f t="shared" si="10"/>
        <v>Normal</v>
      </c>
    </row>
    <row r="367" spans="1:4" x14ac:dyDescent="0.25">
      <c r="A367">
        <v>43718</v>
      </c>
      <c r="C367">
        <f t="shared" si="11"/>
        <v>-0.62420238566702313</v>
      </c>
      <c r="D367" t="str">
        <f t="shared" si="10"/>
        <v>Normal</v>
      </c>
    </row>
    <row r="368" spans="1:4" x14ac:dyDescent="0.25">
      <c r="A368">
        <v>77140</v>
      </c>
      <c r="C368">
        <f t="shared" si="11"/>
        <v>0.44299147855723925</v>
      </c>
      <c r="D368" t="str">
        <f t="shared" si="10"/>
        <v>Normal</v>
      </c>
    </row>
    <row r="369" spans="1:4" x14ac:dyDescent="0.25">
      <c r="A369">
        <v>20697</v>
      </c>
      <c r="C369">
        <f t="shared" si="11"/>
        <v>-1.3592831692319427</v>
      </c>
      <c r="D369" t="str">
        <f t="shared" si="10"/>
        <v>Normal</v>
      </c>
    </row>
    <row r="370" spans="1:4" x14ac:dyDescent="0.25">
      <c r="A370">
        <v>34234</v>
      </c>
      <c r="C370">
        <f t="shared" si="11"/>
        <v>-0.92703484956214921</v>
      </c>
      <c r="D370" t="str">
        <f t="shared" si="10"/>
        <v>Normal</v>
      </c>
    </row>
    <row r="371" spans="1:4" x14ac:dyDescent="0.25">
      <c r="A371">
        <v>92050</v>
      </c>
      <c r="C371">
        <f t="shared" si="11"/>
        <v>0.91908089617389155</v>
      </c>
      <c r="D371" t="str">
        <f t="shared" si="10"/>
        <v>Normal</v>
      </c>
    </row>
    <row r="372" spans="1:4" x14ac:dyDescent="0.25">
      <c r="A372">
        <v>82637</v>
      </c>
      <c r="C372">
        <f t="shared" si="11"/>
        <v>0.6185155247436066</v>
      </c>
      <c r="D372" t="str">
        <f t="shared" si="10"/>
        <v>Normal</v>
      </c>
    </row>
    <row r="373" spans="1:4" x14ac:dyDescent="0.25">
      <c r="A373">
        <v>76680</v>
      </c>
      <c r="C373">
        <f t="shared" si="11"/>
        <v>0.42830327385545119</v>
      </c>
      <c r="D373" t="str">
        <f t="shared" si="10"/>
        <v>Normal</v>
      </c>
    </row>
    <row r="374" spans="1:4" x14ac:dyDescent="0.25">
      <c r="A374">
        <v>39132</v>
      </c>
      <c r="C374">
        <f t="shared" si="11"/>
        <v>-0.77063740036789286</v>
      </c>
      <c r="D374" t="str">
        <f t="shared" si="10"/>
        <v>Normal</v>
      </c>
    </row>
    <row r="375" spans="1:4" x14ac:dyDescent="0.25">
      <c r="A375">
        <v>82412</v>
      </c>
      <c r="C375">
        <f t="shared" si="11"/>
        <v>0.61133107679164511</v>
      </c>
      <c r="D375" t="str">
        <f t="shared" si="10"/>
        <v>Normal</v>
      </c>
    </row>
    <row r="376" spans="1:4" x14ac:dyDescent="0.25">
      <c r="A376">
        <v>68705</v>
      </c>
      <c r="C376">
        <f t="shared" si="11"/>
        <v>0.17365450755814726</v>
      </c>
      <c r="D376" t="str">
        <f t="shared" si="10"/>
        <v>Normal</v>
      </c>
    </row>
    <row r="377" spans="1:4" x14ac:dyDescent="0.25">
      <c r="A377">
        <v>78405</v>
      </c>
      <c r="C377">
        <f t="shared" si="11"/>
        <v>0.48338404148715647</v>
      </c>
      <c r="D377" t="str">
        <f t="shared" si="10"/>
        <v>Normal</v>
      </c>
    </row>
    <row r="378" spans="1:4" x14ac:dyDescent="0.25">
      <c r="A378">
        <v>105127</v>
      </c>
      <c r="C378">
        <f t="shared" si="11"/>
        <v>1.3366410111418972</v>
      </c>
      <c r="D378" t="str">
        <f t="shared" si="10"/>
        <v>Normal</v>
      </c>
    </row>
    <row r="379" spans="1:4" x14ac:dyDescent="0.25">
      <c r="A379">
        <v>92451</v>
      </c>
      <c r="C379">
        <f t="shared" si="11"/>
        <v>0.93188517896827638</v>
      </c>
      <c r="D379" t="str">
        <f t="shared" si="10"/>
        <v>Normal</v>
      </c>
    </row>
    <row r="380" spans="1:4" x14ac:dyDescent="0.25">
      <c r="A380">
        <v>21429</v>
      </c>
      <c r="C380">
        <f t="shared" si="11"/>
        <v>-1.3359097652282279</v>
      </c>
      <c r="D380" t="str">
        <f t="shared" si="10"/>
        <v>Normal</v>
      </c>
    </row>
    <row r="381" spans="1:4" x14ac:dyDescent="0.25">
      <c r="A381">
        <v>19843</v>
      </c>
      <c r="C381">
        <f t="shared" si="11"/>
        <v>-1.3865521405696102</v>
      </c>
      <c r="D381" t="str">
        <f t="shared" si="10"/>
        <v>Normal</v>
      </c>
    </row>
    <row r="382" spans="1:4" x14ac:dyDescent="0.25">
      <c r="A382">
        <v>27035</v>
      </c>
      <c r="C382">
        <f t="shared" si="11"/>
        <v>-1.1569052531451325</v>
      </c>
      <c r="D382" t="str">
        <f t="shared" si="10"/>
        <v>Normal</v>
      </c>
    </row>
    <row r="383" spans="1:4" x14ac:dyDescent="0.25">
      <c r="A383">
        <v>63931</v>
      </c>
      <c r="C383">
        <f t="shared" si="11"/>
        <v>2.1216487457416337E-2</v>
      </c>
      <c r="D383" t="str">
        <f t="shared" si="10"/>
        <v>Normal</v>
      </c>
    </row>
    <row r="384" spans="1:4" x14ac:dyDescent="0.25">
      <c r="A384">
        <v>82640</v>
      </c>
      <c r="C384">
        <f t="shared" si="11"/>
        <v>0.61861131738296615</v>
      </c>
      <c r="D384" t="str">
        <f t="shared" si="10"/>
        <v>Normal</v>
      </c>
    </row>
    <row r="385" spans="1:4" x14ac:dyDescent="0.25">
      <c r="A385">
        <v>36035</v>
      </c>
      <c r="C385">
        <f t="shared" si="11"/>
        <v>-0.86952733506667035</v>
      </c>
      <c r="D385" t="str">
        <f t="shared" si="10"/>
        <v>Normal</v>
      </c>
    </row>
    <row r="386" spans="1:4" x14ac:dyDescent="0.25">
      <c r="A386">
        <v>24636</v>
      </c>
      <c r="C386">
        <f t="shared" si="11"/>
        <v>-1.2335074337529359</v>
      </c>
      <c r="D386" t="str">
        <f t="shared" ref="D386:D449" si="12">IF(ABS(C386) &gt; 2.5, "Outlier", "Normal")</f>
        <v>Normal</v>
      </c>
    </row>
    <row r="387" spans="1:4" x14ac:dyDescent="0.25">
      <c r="A387">
        <v>77382</v>
      </c>
      <c r="C387">
        <f t="shared" ref="C387:C450" si="13">(A387 - $B$5) / $B$7</f>
        <v>0.45071875146557128</v>
      </c>
      <c r="D387" t="str">
        <f t="shared" si="12"/>
        <v>Normal</v>
      </c>
    </row>
    <row r="388" spans="1:4" x14ac:dyDescent="0.25">
      <c r="A388">
        <v>39093</v>
      </c>
      <c r="C388">
        <f t="shared" si="13"/>
        <v>-0.77188270467956621</v>
      </c>
      <c r="D388" t="str">
        <f t="shared" si="12"/>
        <v>Normal</v>
      </c>
    </row>
    <row r="389" spans="1:4" x14ac:dyDescent="0.25">
      <c r="A389">
        <v>46431</v>
      </c>
      <c r="C389">
        <f t="shared" si="13"/>
        <v>-0.5375739088062601</v>
      </c>
      <c r="D389" t="str">
        <f t="shared" si="12"/>
        <v>Normal</v>
      </c>
    </row>
    <row r="390" spans="1:4" x14ac:dyDescent="0.25">
      <c r="A390">
        <v>64427</v>
      </c>
      <c r="C390">
        <f t="shared" si="13"/>
        <v>3.7054203831518251E-2</v>
      </c>
      <c r="D390" t="str">
        <f t="shared" si="12"/>
        <v>Normal</v>
      </c>
    </row>
    <row r="391" spans="1:4" x14ac:dyDescent="0.25">
      <c r="A391">
        <v>81136</v>
      </c>
      <c r="C391">
        <f t="shared" si="13"/>
        <v>0.57058727418407651</v>
      </c>
      <c r="D391" t="str">
        <f t="shared" si="12"/>
        <v>Normal</v>
      </c>
    </row>
    <row r="392" spans="1:4" x14ac:dyDescent="0.25">
      <c r="A392">
        <v>21216</v>
      </c>
      <c r="C392">
        <f t="shared" si="13"/>
        <v>-1.3427110426227515</v>
      </c>
      <c r="D392" t="str">
        <f t="shared" si="12"/>
        <v>Normal</v>
      </c>
    </row>
    <row r="393" spans="1:4" x14ac:dyDescent="0.25">
      <c r="A393">
        <v>114952</v>
      </c>
      <c r="C393">
        <f t="shared" si="13"/>
        <v>1.6503619050442182</v>
      </c>
      <c r="D393" t="str">
        <f t="shared" si="12"/>
        <v>Normal</v>
      </c>
    </row>
    <row r="394" spans="1:4" x14ac:dyDescent="0.25">
      <c r="A394">
        <v>125121</v>
      </c>
      <c r="C394">
        <f t="shared" si="13"/>
        <v>1.9750670215930939</v>
      </c>
      <c r="D394" t="str">
        <f t="shared" si="12"/>
        <v>Normal</v>
      </c>
    </row>
    <row r="395" spans="1:4" x14ac:dyDescent="0.25">
      <c r="A395">
        <v>54847</v>
      </c>
      <c r="C395">
        <f t="shared" si="13"/>
        <v>-0.26884362452311145</v>
      </c>
      <c r="D395" t="str">
        <f t="shared" si="12"/>
        <v>Normal</v>
      </c>
    </row>
    <row r="396" spans="1:4" x14ac:dyDescent="0.25">
      <c r="A396">
        <v>22361</v>
      </c>
      <c r="C396">
        <f t="shared" si="13"/>
        <v>-1.3061501852672137</v>
      </c>
      <c r="D396" t="str">
        <f t="shared" si="12"/>
        <v>Normal</v>
      </c>
    </row>
    <row r="397" spans="1:4" x14ac:dyDescent="0.25">
      <c r="A397">
        <v>71530</v>
      </c>
      <c r="C397">
        <f t="shared" si="13"/>
        <v>0.26385924295499785</v>
      </c>
      <c r="D397" t="str">
        <f t="shared" si="12"/>
        <v>Normal</v>
      </c>
    </row>
    <row r="398" spans="1:4" x14ac:dyDescent="0.25">
      <c r="A398">
        <v>21131</v>
      </c>
      <c r="C398">
        <f t="shared" si="13"/>
        <v>-1.3454251674046036</v>
      </c>
      <c r="D398" t="str">
        <f t="shared" si="12"/>
        <v>Normal</v>
      </c>
    </row>
    <row r="399" spans="1:4" x14ac:dyDescent="0.25">
      <c r="A399">
        <v>75932</v>
      </c>
      <c r="C399">
        <f t="shared" si="13"/>
        <v>0.40441897577515235</v>
      </c>
      <c r="D399" t="str">
        <f t="shared" si="12"/>
        <v>Normal</v>
      </c>
    </row>
    <row r="400" spans="1:4" x14ac:dyDescent="0.25">
      <c r="A400">
        <v>39724</v>
      </c>
      <c r="C400">
        <f t="shared" si="13"/>
        <v>-0.75173431953428738</v>
      </c>
      <c r="D400" t="str">
        <f t="shared" si="12"/>
        <v>Normal</v>
      </c>
    </row>
    <row r="401" spans="1:4" x14ac:dyDescent="0.25">
      <c r="A401">
        <v>95495</v>
      </c>
      <c r="C401">
        <f t="shared" si="13"/>
        <v>1.0290827770383695</v>
      </c>
      <c r="D401" t="str">
        <f t="shared" si="12"/>
        <v>Normal</v>
      </c>
    </row>
    <row r="402" spans="1:4" x14ac:dyDescent="0.25">
      <c r="A402">
        <v>60666</v>
      </c>
      <c r="C402">
        <f t="shared" si="13"/>
        <v>-8.3037835045492434E-2</v>
      </c>
      <c r="D402" t="str">
        <f t="shared" si="12"/>
        <v>Normal</v>
      </c>
    </row>
    <row r="403" spans="1:4" x14ac:dyDescent="0.25">
      <c r="A403">
        <v>66484</v>
      </c>
      <c r="C403">
        <f t="shared" si="13"/>
        <v>0.1027360235523401</v>
      </c>
      <c r="D403" t="str">
        <f t="shared" si="12"/>
        <v>Normal</v>
      </c>
    </row>
    <row r="404" spans="1:4" x14ac:dyDescent="0.25">
      <c r="A404">
        <v>83733</v>
      </c>
      <c r="C404">
        <f t="shared" si="13"/>
        <v>0.65351176898960606</v>
      </c>
      <c r="D404" t="str">
        <f t="shared" si="12"/>
        <v>Normal</v>
      </c>
    </row>
    <row r="405" spans="1:4" x14ac:dyDescent="0.25">
      <c r="A405">
        <v>52127</v>
      </c>
      <c r="C405">
        <f t="shared" si="13"/>
        <v>-0.35569561754237999</v>
      </c>
      <c r="D405" t="str">
        <f t="shared" si="12"/>
        <v>Normal</v>
      </c>
    </row>
    <row r="406" spans="1:4" x14ac:dyDescent="0.25">
      <c r="A406">
        <v>87597</v>
      </c>
      <c r="C406">
        <f t="shared" si="13"/>
        <v>0.77689268848462578</v>
      </c>
      <c r="D406" t="str">
        <f t="shared" si="12"/>
        <v>Normal</v>
      </c>
    </row>
    <row r="407" spans="1:4" x14ac:dyDescent="0.25">
      <c r="A407">
        <v>82614</v>
      </c>
      <c r="C407">
        <f t="shared" si="13"/>
        <v>0.61778111450851725</v>
      </c>
      <c r="D407" t="str">
        <f t="shared" si="12"/>
        <v>Normal</v>
      </c>
    </row>
    <row r="408" spans="1:4" x14ac:dyDescent="0.25">
      <c r="A408">
        <v>22409</v>
      </c>
      <c r="C408">
        <f t="shared" si="13"/>
        <v>-1.304617503037462</v>
      </c>
      <c r="D408" t="str">
        <f t="shared" si="12"/>
        <v>Normal</v>
      </c>
    </row>
    <row r="409" spans="1:4" x14ac:dyDescent="0.25">
      <c r="A409">
        <v>57280</v>
      </c>
      <c r="C409">
        <f t="shared" si="13"/>
        <v>-0.19115579400256719</v>
      </c>
      <c r="D409" t="str">
        <f t="shared" si="12"/>
        <v>Normal</v>
      </c>
    </row>
    <row r="410" spans="1:4" x14ac:dyDescent="0.25">
      <c r="A410">
        <v>56283</v>
      </c>
      <c r="C410">
        <f t="shared" si="13"/>
        <v>-0.2229908811497035</v>
      </c>
      <c r="D410" t="str">
        <f t="shared" si="12"/>
        <v>Normal</v>
      </c>
    </row>
    <row r="411" spans="1:4" x14ac:dyDescent="0.25">
      <c r="A411">
        <v>19065</v>
      </c>
      <c r="C411">
        <f t="shared" si="13"/>
        <v>-1.4113943650435039</v>
      </c>
      <c r="D411" t="str">
        <f t="shared" si="12"/>
        <v>Normal</v>
      </c>
    </row>
    <row r="412" spans="1:4" x14ac:dyDescent="0.25">
      <c r="A412">
        <v>72225</v>
      </c>
      <c r="C412">
        <f t="shared" si="13"/>
        <v>0.28605120440661247</v>
      </c>
      <c r="D412" t="str">
        <f t="shared" si="12"/>
        <v>Normal</v>
      </c>
    </row>
    <row r="413" spans="1:4" x14ac:dyDescent="0.25">
      <c r="A413">
        <v>62834</v>
      </c>
      <c r="C413">
        <f t="shared" si="13"/>
        <v>-1.381168766836955E-2</v>
      </c>
      <c r="D413" t="str">
        <f t="shared" si="12"/>
        <v>Normal</v>
      </c>
    </row>
    <row r="414" spans="1:4" x14ac:dyDescent="0.25">
      <c r="A414">
        <v>71077</v>
      </c>
      <c r="C414">
        <f t="shared" si="13"/>
        <v>0.24939455441171529</v>
      </c>
      <c r="D414" t="str">
        <f t="shared" si="12"/>
        <v>Normal</v>
      </c>
    </row>
    <row r="415" spans="1:4" x14ac:dyDescent="0.25">
      <c r="A415">
        <v>41877</v>
      </c>
      <c r="C415">
        <f t="shared" si="13"/>
        <v>-0.68298713535396194</v>
      </c>
      <c r="D415" t="str">
        <f t="shared" si="12"/>
        <v>Normal</v>
      </c>
    </row>
    <row r="416" spans="1:4" x14ac:dyDescent="0.25">
      <c r="A416">
        <v>23132</v>
      </c>
      <c r="C416">
        <f t="shared" si="13"/>
        <v>-1.2815314769518256</v>
      </c>
      <c r="D416" t="str">
        <f t="shared" si="12"/>
        <v>Normal</v>
      </c>
    </row>
    <row r="417" spans="1:4" x14ac:dyDescent="0.25">
      <c r="A417">
        <v>20711</v>
      </c>
      <c r="C417">
        <f t="shared" si="13"/>
        <v>-1.3588361369149318</v>
      </c>
      <c r="D417" t="str">
        <f t="shared" si="12"/>
        <v>Normal</v>
      </c>
    </row>
    <row r="418" spans="1:4" x14ac:dyDescent="0.25">
      <c r="A418">
        <v>66857</v>
      </c>
      <c r="C418">
        <f t="shared" si="13"/>
        <v>0.11464624171270303</v>
      </c>
      <c r="D418" t="str">
        <f t="shared" si="12"/>
        <v>Normal</v>
      </c>
    </row>
    <row r="419" spans="1:4" x14ac:dyDescent="0.25">
      <c r="A419">
        <v>79349</v>
      </c>
      <c r="C419">
        <f t="shared" si="13"/>
        <v>0.51352679200560847</v>
      </c>
      <c r="D419" t="str">
        <f t="shared" si="12"/>
        <v>Normal</v>
      </c>
    </row>
    <row r="420" spans="1:4" x14ac:dyDescent="0.25">
      <c r="A420">
        <v>50206</v>
      </c>
      <c r="C420">
        <f t="shared" si="13"/>
        <v>-0.41703483761223842</v>
      </c>
      <c r="D420" t="str">
        <f t="shared" si="12"/>
        <v>Normal</v>
      </c>
    </row>
    <row r="421" spans="1:4" x14ac:dyDescent="0.25">
      <c r="A421">
        <v>58636</v>
      </c>
      <c r="C421">
        <f t="shared" si="13"/>
        <v>-0.14785752101207889</v>
      </c>
      <c r="D421" t="str">
        <f t="shared" si="12"/>
        <v>Normal</v>
      </c>
    </row>
    <row r="422" spans="1:4" x14ac:dyDescent="0.25">
      <c r="A422">
        <v>66772</v>
      </c>
      <c r="C422">
        <f t="shared" si="13"/>
        <v>0.11193211693085088</v>
      </c>
      <c r="D422" t="str">
        <f t="shared" si="12"/>
        <v>Normal</v>
      </c>
    </row>
    <row r="423" spans="1:4" x14ac:dyDescent="0.25">
      <c r="A423">
        <v>31604</v>
      </c>
      <c r="C423">
        <f t="shared" si="13"/>
        <v>-1.0110130634006331</v>
      </c>
      <c r="D423" t="str">
        <f t="shared" si="12"/>
        <v>Normal</v>
      </c>
    </row>
    <row r="424" spans="1:4" x14ac:dyDescent="0.25">
      <c r="A424">
        <v>61944</v>
      </c>
      <c r="C424">
        <f t="shared" si="13"/>
        <v>-4.2230170678350804E-2</v>
      </c>
      <c r="D424" t="str">
        <f t="shared" si="12"/>
        <v>Normal</v>
      </c>
    </row>
    <row r="425" spans="1:4" x14ac:dyDescent="0.25">
      <c r="A425">
        <v>67506</v>
      </c>
      <c r="C425">
        <f t="shared" si="13"/>
        <v>0.13536938269413881</v>
      </c>
      <c r="D425" t="str">
        <f t="shared" si="12"/>
        <v>Normal</v>
      </c>
    </row>
    <row r="426" spans="1:4" x14ac:dyDescent="0.25">
      <c r="A426">
        <v>87501</v>
      </c>
      <c r="C426">
        <f t="shared" si="13"/>
        <v>0.77382732402512222</v>
      </c>
      <c r="D426" t="str">
        <f t="shared" si="12"/>
        <v>Normal</v>
      </c>
    </row>
    <row r="427" spans="1:4" x14ac:dyDescent="0.25">
      <c r="A427">
        <v>91896</v>
      </c>
      <c r="C427">
        <f t="shared" si="13"/>
        <v>0.91416354068677119</v>
      </c>
      <c r="D427" t="str">
        <f t="shared" si="12"/>
        <v>Normal</v>
      </c>
    </row>
    <row r="428" spans="1:4" x14ac:dyDescent="0.25">
      <c r="A428">
        <v>69129</v>
      </c>
      <c r="C428">
        <f t="shared" si="13"/>
        <v>0.18719320058762148</v>
      </c>
      <c r="D428" t="str">
        <f t="shared" si="12"/>
        <v>Normal</v>
      </c>
    </row>
    <row r="429" spans="1:4" x14ac:dyDescent="0.25">
      <c r="A429">
        <v>61935</v>
      </c>
      <c r="C429">
        <f t="shared" si="13"/>
        <v>-4.2517548596429269E-2</v>
      </c>
      <c r="D429" t="str">
        <f t="shared" si="12"/>
        <v>Normal</v>
      </c>
    </row>
    <row r="430" spans="1:4" x14ac:dyDescent="0.25">
      <c r="A430">
        <v>23904</v>
      </c>
      <c r="C430">
        <f t="shared" si="13"/>
        <v>-1.2568808377566507</v>
      </c>
      <c r="D430" t="str">
        <f t="shared" si="12"/>
        <v>Normal</v>
      </c>
    </row>
    <row r="431" spans="1:4" x14ac:dyDescent="0.25">
      <c r="A431">
        <v>43774</v>
      </c>
      <c r="C431">
        <f t="shared" si="13"/>
        <v>-0.6224142563989794</v>
      </c>
      <c r="D431" t="str">
        <f t="shared" si="12"/>
        <v>Normal</v>
      </c>
    </row>
    <row r="432" spans="1:4" x14ac:dyDescent="0.25">
      <c r="A432">
        <v>23850</v>
      </c>
      <c r="C432">
        <f t="shared" si="13"/>
        <v>-1.2586051052651215</v>
      </c>
      <c r="D432" t="str">
        <f t="shared" si="12"/>
        <v>Normal</v>
      </c>
    </row>
    <row r="433" spans="1:4" x14ac:dyDescent="0.25">
      <c r="A433">
        <v>53589</v>
      </c>
      <c r="C433">
        <f t="shared" si="13"/>
        <v>-0.30901267129452314</v>
      </c>
      <c r="D433" t="str">
        <f t="shared" si="12"/>
        <v>Normal</v>
      </c>
    </row>
    <row r="434" spans="1:4" x14ac:dyDescent="0.25">
      <c r="A434">
        <v>86196</v>
      </c>
      <c r="C434">
        <f t="shared" si="13"/>
        <v>0.73215752590374517</v>
      </c>
      <c r="D434" t="str">
        <f t="shared" si="12"/>
        <v>Normal</v>
      </c>
    </row>
    <row r="435" spans="1:4" x14ac:dyDescent="0.25">
      <c r="A435">
        <v>79820</v>
      </c>
      <c r="C435">
        <f t="shared" si="13"/>
        <v>0.52856623638504796</v>
      </c>
      <c r="D435" t="str">
        <f t="shared" si="12"/>
        <v>Normal</v>
      </c>
    </row>
    <row r="436" spans="1:4" x14ac:dyDescent="0.25">
      <c r="A436">
        <v>40044</v>
      </c>
      <c r="C436">
        <f t="shared" si="13"/>
        <v>-0.74151643800260869</v>
      </c>
      <c r="D436" t="str">
        <f t="shared" si="12"/>
        <v>Normal</v>
      </c>
    </row>
    <row r="437" spans="1:4" x14ac:dyDescent="0.25">
      <c r="A437">
        <v>71473</v>
      </c>
      <c r="C437">
        <f t="shared" si="13"/>
        <v>0.26203918280716759</v>
      </c>
      <c r="D437" t="str">
        <f t="shared" si="12"/>
        <v>Normal</v>
      </c>
    </row>
    <row r="438" spans="1:4" x14ac:dyDescent="0.25">
      <c r="A438">
        <v>73440</v>
      </c>
      <c r="C438">
        <f t="shared" si="13"/>
        <v>0.32484722334720484</v>
      </c>
      <c r="D438" t="str">
        <f t="shared" si="12"/>
        <v>Normal</v>
      </c>
    </row>
    <row r="439" spans="1:4" x14ac:dyDescent="0.25">
      <c r="A439">
        <v>33848</v>
      </c>
      <c r="C439">
        <f t="shared" si="13"/>
        <v>-0.93936016915973664</v>
      </c>
      <c r="D439" t="str">
        <f t="shared" si="12"/>
        <v>Normal</v>
      </c>
    </row>
    <row r="440" spans="1:4" x14ac:dyDescent="0.25">
      <c r="A440">
        <v>64901</v>
      </c>
      <c r="C440">
        <f t="shared" si="13"/>
        <v>5.2189440850317258E-2</v>
      </c>
      <c r="D440" t="str">
        <f t="shared" si="12"/>
        <v>Normal</v>
      </c>
    </row>
    <row r="441" spans="1:4" x14ac:dyDescent="0.25">
      <c r="A441">
        <v>25513</v>
      </c>
      <c r="C441">
        <f t="shared" si="13"/>
        <v>-1.205504052180179</v>
      </c>
      <c r="D441" t="str">
        <f t="shared" si="12"/>
        <v>Normal</v>
      </c>
    </row>
    <row r="442" spans="1:4" x14ac:dyDescent="0.25">
      <c r="A442">
        <v>35606</v>
      </c>
      <c r="C442">
        <f t="shared" si="13"/>
        <v>-0.88322568249507705</v>
      </c>
      <c r="D442" t="str">
        <f t="shared" si="12"/>
        <v>Normal</v>
      </c>
    </row>
    <row r="443" spans="1:4" x14ac:dyDescent="0.25">
      <c r="A443">
        <v>76830</v>
      </c>
      <c r="C443">
        <f t="shared" si="13"/>
        <v>0.43309290582342558</v>
      </c>
      <c r="D443" t="str">
        <f t="shared" si="12"/>
        <v>Normal</v>
      </c>
    </row>
    <row r="444" spans="1:4" x14ac:dyDescent="0.25">
      <c r="A444">
        <v>26803</v>
      </c>
      <c r="C444">
        <f t="shared" si="13"/>
        <v>-1.1643132172555994</v>
      </c>
      <c r="D444" t="str">
        <f t="shared" si="12"/>
        <v>Normal</v>
      </c>
    </row>
    <row r="445" spans="1:4" x14ac:dyDescent="0.25">
      <c r="A445">
        <v>54213</v>
      </c>
      <c r="C445">
        <f t="shared" si="13"/>
        <v>-0.28908780230774977</v>
      </c>
      <c r="D445" t="str">
        <f t="shared" si="12"/>
        <v>Normal</v>
      </c>
    </row>
    <row r="446" spans="1:4" x14ac:dyDescent="0.25">
      <c r="A446">
        <v>22536</v>
      </c>
      <c r="C446">
        <f t="shared" si="13"/>
        <v>-1.300562281304577</v>
      </c>
      <c r="D446" t="str">
        <f t="shared" si="12"/>
        <v>Normal</v>
      </c>
    </row>
    <row r="447" spans="1:4" x14ac:dyDescent="0.25">
      <c r="A447">
        <v>78313</v>
      </c>
      <c r="C447">
        <f t="shared" si="13"/>
        <v>0.48044640054679882</v>
      </c>
      <c r="D447" t="str">
        <f t="shared" si="12"/>
        <v>Normal</v>
      </c>
    </row>
    <row r="448" spans="1:4" x14ac:dyDescent="0.25">
      <c r="A448">
        <v>42365</v>
      </c>
      <c r="C448">
        <f t="shared" si="13"/>
        <v>-0.66740486601815197</v>
      </c>
      <c r="D448" t="str">
        <f t="shared" si="12"/>
        <v>Normal</v>
      </c>
    </row>
    <row r="449" spans="1:4" x14ac:dyDescent="0.25">
      <c r="A449">
        <v>29117</v>
      </c>
      <c r="C449">
        <f t="shared" si="13"/>
        <v>-1.0904251614296483</v>
      </c>
      <c r="D449" t="str">
        <f t="shared" si="12"/>
        <v>Normal</v>
      </c>
    </row>
    <row r="450" spans="1:4" x14ac:dyDescent="0.25">
      <c r="A450">
        <v>90257</v>
      </c>
      <c r="C450">
        <f t="shared" si="13"/>
        <v>0.86182882871670463</v>
      </c>
      <c r="D450" t="str">
        <f t="shared" ref="D450:D513" si="14">IF(ABS(C450) &gt; 2.5, "Outlier", "Normal")</f>
        <v>Normal</v>
      </c>
    </row>
    <row r="451" spans="1:4" x14ac:dyDescent="0.25">
      <c r="A451">
        <v>47653</v>
      </c>
      <c r="C451">
        <f t="shared" ref="C451:C514" si="15">(A451 - $B$5) / $B$7</f>
        <v>-0.49855437370716221</v>
      </c>
      <c r="D451" t="str">
        <f t="shared" si="14"/>
        <v>Normal</v>
      </c>
    </row>
    <row r="452" spans="1:4" x14ac:dyDescent="0.25">
      <c r="A452">
        <v>59859</v>
      </c>
      <c r="C452">
        <f t="shared" si="15"/>
        <v>-0.10880605503319453</v>
      </c>
      <c r="D452" t="str">
        <f t="shared" si="14"/>
        <v>Normal</v>
      </c>
    </row>
    <row r="453" spans="1:4" x14ac:dyDescent="0.25">
      <c r="A453">
        <v>48059</v>
      </c>
      <c r="C453">
        <f t="shared" si="15"/>
        <v>-0.48559043651384493</v>
      </c>
      <c r="D453" t="str">
        <f t="shared" si="14"/>
        <v>Normal</v>
      </c>
    </row>
    <row r="454" spans="1:4" x14ac:dyDescent="0.25">
      <c r="A454">
        <v>54294</v>
      </c>
      <c r="C454">
        <f t="shared" si="15"/>
        <v>-0.28650140104504362</v>
      </c>
      <c r="D454" t="str">
        <f t="shared" si="14"/>
        <v>Normal</v>
      </c>
    </row>
    <row r="455" spans="1:4" x14ac:dyDescent="0.25">
      <c r="A455">
        <v>82883</v>
      </c>
      <c r="C455">
        <f t="shared" si="15"/>
        <v>0.6263705211710846</v>
      </c>
      <c r="D455" t="str">
        <f t="shared" si="14"/>
        <v>Normal</v>
      </c>
    </row>
    <row r="456" spans="1:4" x14ac:dyDescent="0.25">
      <c r="A456">
        <v>73544</v>
      </c>
      <c r="C456">
        <f t="shared" si="15"/>
        <v>0.3281680348450004</v>
      </c>
      <c r="D456" t="str">
        <f t="shared" si="14"/>
        <v>Normal</v>
      </c>
    </row>
    <row r="457" spans="1:4" x14ac:dyDescent="0.25">
      <c r="A457">
        <v>24004</v>
      </c>
      <c r="C457">
        <f t="shared" si="15"/>
        <v>-1.2536877497780012</v>
      </c>
      <c r="D457" t="str">
        <f t="shared" si="14"/>
        <v>Normal</v>
      </c>
    </row>
    <row r="458" spans="1:4" x14ac:dyDescent="0.25">
      <c r="A458">
        <v>58148</v>
      </c>
      <c r="C458">
        <f t="shared" si="15"/>
        <v>-0.16343979034788883</v>
      </c>
      <c r="D458" t="str">
        <f t="shared" si="14"/>
        <v>Normal</v>
      </c>
    </row>
    <row r="459" spans="1:4" x14ac:dyDescent="0.25">
      <c r="A459">
        <v>74784</v>
      </c>
      <c r="C459">
        <f t="shared" si="15"/>
        <v>0.36776232578025519</v>
      </c>
      <c r="D459" t="str">
        <f t="shared" si="14"/>
        <v>Normal</v>
      </c>
    </row>
    <row r="460" spans="1:4" x14ac:dyDescent="0.25">
      <c r="A460">
        <v>22987</v>
      </c>
      <c r="C460">
        <f t="shared" si="15"/>
        <v>-1.2861614545208675</v>
      </c>
      <c r="D460" t="str">
        <f t="shared" si="14"/>
        <v>Normal</v>
      </c>
    </row>
    <row r="461" spans="1:4" x14ac:dyDescent="0.25">
      <c r="A461">
        <v>40332</v>
      </c>
      <c r="C461">
        <f t="shared" si="15"/>
        <v>-0.7323203446240979</v>
      </c>
      <c r="D461" t="str">
        <f t="shared" si="14"/>
        <v>Normal</v>
      </c>
    </row>
    <row r="462" spans="1:4" x14ac:dyDescent="0.25">
      <c r="A462">
        <v>31598</v>
      </c>
      <c r="C462">
        <f t="shared" si="15"/>
        <v>-1.0112046486793522</v>
      </c>
      <c r="D462" t="str">
        <f t="shared" si="14"/>
        <v>Normal</v>
      </c>
    </row>
    <row r="463" spans="1:4" x14ac:dyDescent="0.25">
      <c r="A463">
        <v>66988</v>
      </c>
      <c r="C463">
        <f t="shared" si="15"/>
        <v>0.11882918696473398</v>
      </c>
      <c r="D463" t="str">
        <f t="shared" si="14"/>
        <v>Normal</v>
      </c>
    </row>
    <row r="464" spans="1:4" x14ac:dyDescent="0.25">
      <c r="A464">
        <v>74574</v>
      </c>
      <c r="C464">
        <f t="shared" si="15"/>
        <v>0.36105684102509106</v>
      </c>
      <c r="D464" t="str">
        <f t="shared" si="14"/>
        <v>Normal</v>
      </c>
    </row>
    <row r="465" spans="1:4" x14ac:dyDescent="0.25">
      <c r="A465">
        <v>92859</v>
      </c>
      <c r="C465">
        <f t="shared" si="15"/>
        <v>0.94491297792116669</v>
      </c>
      <c r="D465" t="str">
        <f t="shared" si="14"/>
        <v>Normal</v>
      </c>
    </row>
    <row r="466" spans="1:4" x14ac:dyDescent="0.25">
      <c r="A466">
        <v>74314</v>
      </c>
      <c r="C466">
        <f t="shared" si="15"/>
        <v>0.35275481228060218</v>
      </c>
      <c r="D466" t="str">
        <f t="shared" si="14"/>
        <v>Normal</v>
      </c>
    </row>
    <row r="467" spans="1:4" x14ac:dyDescent="0.25">
      <c r="A467">
        <v>77410</v>
      </c>
      <c r="C467">
        <f t="shared" si="15"/>
        <v>0.45161281609959314</v>
      </c>
      <c r="D467" t="str">
        <f t="shared" si="14"/>
        <v>Normal</v>
      </c>
    </row>
    <row r="468" spans="1:4" x14ac:dyDescent="0.25">
      <c r="A468">
        <v>67600</v>
      </c>
      <c r="C468">
        <f t="shared" si="15"/>
        <v>0.13837088539406942</v>
      </c>
      <c r="D468" t="str">
        <f t="shared" si="14"/>
        <v>Normal</v>
      </c>
    </row>
    <row r="469" spans="1:4" x14ac:dyDescent="0.25">
      <c r="A469">
        <v>27675</v>
      </c>
      <c r="C469">
        <f t="shared" si="15"/>
        <v>-1.1364694900817751</v>
      </c>
      <c r="D469" t="str">
        <f t="shared" si="14"/>
        <v>Normal</v>
      </c>
    </row>
    <row r="470" spans="1:4" x14ac:dyDescent="0.25">
      <c r="A470">
        <v>72430</v>
      </c>
      <c r="C470">
        <f t="shared" si="15"/>
        <v>0.2925970347628441</v>
      </c>
      <c r="D470" t="str">
        <f t="shared" si="14"/>
        <v>Normal</v>
      </c>
    </row>
    <row r="471" spans="1:4" x14ac:dyDescent="0.25">
      <c r="A471">
        <v>23154</v>
      </c>
      <c r="C471">
        <f t="shared" si="15"/>
        <v>-1.2808289975965226</v>
      </c>
      <c r="D471" t="str">
        <f t="shared" si="14"/>
        <v>Normal</v>
      </c>
    </row>
    <row r="472" spans="1:4" x14ac:dyDescent="0.25">
      <c r="A472">
        <v>33835</v>
      </c>
      <c r="C472">
        <f t="shared" si="15"/>
        <v>-0.93977527059696109</v>
      </c>
      <c r="D472" t="str">
        <f t="shared" si="14"/>
        <v>Normal</v>
      </c>
    </row>
    <row r="473" spans="1:4" x14ac:dyDescent="0.25">
      <c r="A473">
        <v>67041</v>
      </c>
      <c r="C473">
        <f t="shared" si="15"/>
        <v>0.12052152359341825</v>
      </c>
      <c r="D473" t="str">
        <f t="shared" si="14"/>
        <v>Normal</v>
      </c>
    </row>
    <row r="474" spans="1:4" x14ac:dyDescent="0.25">
      <c r="A474">
        <v>104575</v>
      </c>
      <c r="C474">
        <f t="shared" si="15"/>
        <v>1.3190151654997513</v>
      </c>
      <c r="D474" t="str">
        <f t="shared" si="14"/>
        <v>Normal</v>
      </c>
    </row>
    <row r="475" spans="1:4" x14ac:dyDescent="0.25">
      <c r="A475">
        <v>68647</v>
      </c>
      <c r="C475">
        <f t="shared" si="15"/>
        <v>0.1718025165305305</v>
      </c>
      <c r="D475" t="str">
        <f t="shared" si="14"/>
        <v>Normal</v>
      </c>
    </row>
    <row r="476" spans="1:4" x14ac:dyDescent="0.25">
      <c r="A476">
        <v>65942</v>
      </c>
      <c r="C476">
        <f t="shared" si="15"/>
        <v>8.5429486708059374E-2</v>
      </c>
      <c r="D476" t="str">
        <f t="shared" si="14"/>
        <v>Normal</v>
      </c>
    </row>
    <row r="477" spans="1:4" x14ac:dyDescent="0.25">
      <c r="A477">
        <v>93464</v>
      </c>
      <c r="C477">
        <f t="shared" si="15"/>
        <v>0.96423116019199662</v>
      </c>
      <c r="D477" t="str">
        <f t="shared" si="14"/>
        <v>Normal</v>
      </c>
    </row>
    <row r="478" spans="1:4" x14ac:dyDescent="0.25">
      <c r="A478">
        <v>19267</v>
      </c>
      <c r="C478">
        <f t="shared" si="15"/>
        <v>-1.4049443273266318</v>
      </c>
      <c r="D478" t="str">
        <f t="shared" si="14"/>
        <v>Normal</v>
      </c>
    </row>
    <row r="479" spans="1:4" x14ac:dyDescent="0.25">
      <c r="A479">
        <v>74731</v>
      </c>
      <c r="C479">
        <f t="shared" si="15"/>
        <v>0.36606998915157091</v>
      </c>
      <c r="D479" t="str">
        <f t="shared" si="14"/>
        <v>Normal</v>
      </c>
    </row>
    <row r="480" spans="1:4" x14ac:dyDescent="0.25">
      <c r="A480">
        <v>100573</v>
      </c>
      <c r="C480">
        <f t="shared" si="15"/>
        <v>1.1912277845941952</v>
      </c>
      <c r="D480" t="str">
        <f t="shared" si="14"/>
        <v>Normal</v>
      </c>
    </row>
    <row r="481" spans="1:4" x14ac:dyDescent="0.25">
      <c r="A481">
        <v>45882</v>
      </c>
      <c r="C481">
        <f t="shared" si="15"/>
        <v>-0.5551039618090462</v>
      </c>
      <c r="D481" t="str">
        <f t="shared" si="14"/>
        <v>Normal</v>
      </c>
    </row>
    <row r="482" spans="1:4" x14ac:dyDescent="0.25">
      <c r="A482">
        <v>25212</v>
      </c>
      <c r="C482">
        <f t="shared" si="15"/>
        <v>-1.2151152469959143</v>
      </c>
      <c r="D482" t="str">
        <f t="shared" si="14"/>
        <v>Normal</v>
      </c>
    </row>
    <row r="483" spans="1:4" x14ac:dyDescent="0.25">
      <c r="A483">
        <v>48609</v>
      </c>
      <c r="C483">
        <f t="shared" si="15"/>
        <v>-0.46802845263127224</v>
      </c>
      <c r="D483" t="str">
        <f t="shared" si="14"/>
        <v>Normal</v>
      </c>
    </row>
    <row r="484" spans="1:4" x14ac:dyDescent="0.25">
      <c r="A484">
        <v>98699</v>
      </c>
      <c r="C484">
        <f t="shared" si="15"/>
        <v>1.131389315874302</v>
      </c>
      <c r="D484" t="str">
        <f t="shared" si="14"/>
        <v>Normal</v>
      </c>
    </row>
    <row r="485" spans="1:4" x14ac:dyDescent="0.25">
      <c r="A485">
        <v>73022</v>
      </c>
      <c r="C485">
        <f t="shared" si="15"/>
        <v>0.31150011559644958</v>
      </c>
      <c r="D485" t="str">
        <f t="shared" si="14"/>
        <v>Normal</v>
      </c>
    </row>
    <row r="486" spans="1:4" x14ac:dyDescent="0.25">
      <c r="A486">
        <v>112281</v>
      </c>
      <c r="C486">
        <f t="shared" si="15"/>
        <v>1.565074525134488</v>
      </c>
      <c r="D486" t="str">
        <f t="shared" si="14"/>
        <v>Normal</v>
      </c>
    </row>
    <row r="487" spans="1:4" x14ac:dyDescent="0.25">
      <c r="A487">
        <v>65676</v>
      </c>
      <c r="C487">
        <f t="shared" si="15"/>
        <v>7.6935872684851497E-2</v>
      </c>
      <c r="D487" t="str">
        <f t="shared" si="14"/>
        <v>Normal</v>
      </c>
    </row>
    <row r="488" spans="1:4" x14ac:dyDescent="0.25">
      <c r="A488">
        <v>59495</v>
      </c>
      <c r="C488">
        <f t="shared" si="15"/>
        <v>-0.12042889527547901</v>
      </c>
      <c r="D488" t="str">
        <f t="shared" si="14"/>
        <v>Normal</v>
      </c>
    </row>
    <row r="489" spans="1:4" x14ac:dyDescent="0.25">
      <c r="A489">
        <v>56266</v>
      </c>
      <c r="C489">
        <f t="shared" si="15"/>
        <v>-0.22353370610607393</v>
      </c>
      <c r="D489" t="str">
        <f t="shared" si="14"/>
        <v>Normal</v>
      </c>
    </row>
    <row r="490" spans="1:4" x14ac:dyDescent="0.25">
      <c r="A490">
        <v>38270</v>
      </c>
      <c r="C490">
        <f t="shared" si="15"/>
        <v>-0.79816181874385217</v>
      </c>
      <c r="D490" t="str">
        <f t="shared" si="14"/>
        <v>Normal</v>
      </c>
    </row>
    <row r="491" spans="1:4" x14ac:dyDescent="0.25">
      <c r="A491">
        <v>54955</v>
      </c>
      <c r="C491">
        <f t="shared" si="15"/>
        <v>-0.26539508950616991</v>
      </c>
      <c r="D491" t="str">
        <f t="shared" si="14"/>
        <v>Normal</v>
      </c>
    </row>
    <row r="492" spans="1:4" x14ac:dyDescent="0.25">
      <c r="A492">
        <v>78422</v>
      </c>
      <c r="C492">
        <f t="shared" si="15"/>
        <v>0.48392686644352689</v>
      </c>
      <c r="D492" t="str">
        <f t="shared" si="14"/>
        <v>Normal</v>
      </c>
    </row>
    <row r="493" spans="1:4" x14ac:dyDescent="0.25">
      <c r="A493">
        <v>66674</v>
      </c>
      <c r="C493">
        <f t="shared" si="15"/>
        <v>0.10880289071177429</v>
      </c>
      <c r="D493" t="str">
        <f t="shared" si="14"/>
        <v>Normal</v>
      </c>
    </row>
    <row r="494" spans="1:4" x14ac:dyDescent="0.25">
      <c r="A494">
        <v>75736</v>
      </c>
      <c r="C494">
        <f t="shared" si="15"/>
        <v>0.39816052333699919</v>
      </c>
      <c r="D494" t="str">
        <f t="shared" si="14"/>
        <v>Normal</v>
      </c>
    </row>
    <row r="495" spans="1:4" x14ac:dyDescent="0.25">
      <c r="A495">
        <v>62844</v>
      </c>
      <c r="C495">
        <f t="shared" si="15"/>
        <v>-1.3492378870504591E-2</v>
      </c>
      <c r="D495" t="str">
        <f t="shared" si="14"/>
        <v>Normal</v>
      </c>
    </row>
    <row r="496" spans="1:4" x14ac:dyDescent="0.25">
      <c r="A496">
        <v>61234</v>
      </c>
      <c r="C496">
        <f t="shared" si="15"/>
        <v>-6.4901095326762817E-2</v>
      </c>
      <c r="D496" t="str">
        <f t="shared" si="14"/>
        <v>Normal</v>
      </c>
    </row>
    <row r="497" spans="1:4" x14ac:dyDescent="0.25">
      <c r="A497">
        <v>63061</v>
      </c>
      <c r="C497">
        <f t="shared" si="15"/>
        <v>-6.563377956835004E-3</v>
      </c>
      <c r="D497" t="str">
        <f t="shared" si="14"/>
        <v>Normal</v>
      </c>
    </row>
    <row r="498" spans="1:4" x14ac:dyDescent="0.25">
      <c r="A498">
        <v>40242</v>
      </c>
      <c r="C498">
        <f t="shared" si="15"/>
        <v>-0.73519412380488247</v>
      </c>
      <c r="D498" t="str">
        <f t="shared" si="14"/>
        <v>Normal</v>
      </c>
    </row>
    <row r="499" spans="1:4" x14ac:dyDescent="0.25">
      <c r="A499">
        <v>90205</v>
      </c>
      <c r="C499">
        <f t="shared" si="15"/>
        <v>0.86016842296780682</v>
      </c>
      <c r="D499" t="str">
        <f t="shared" si="14"/>
        <v>Normal</v>
      </c>
    </row>
    <row r="500" spans="1:4" x14ac:dyDescent="0.25">
      <c r="A500">
        <v>70110</v>
      </c>
      <c r="C500">
        <f t="shared" si="15"/>
        <v>0.21851739365817385</v>
      </c>
      <c r="D500" t="str">
        <f t="shared" si="14"/>
        <v>Normal</v>
      </c>
    </row>
    <row r="501" spans="1:4" x14ac:dyDescent="0.25">
      <c r="A501">
        <v>75589</v>
      </c>
      <c r="C501">
        <f t="shared" si="15"/>
        <v>0.3934666840083843</v>
      </c>
      <c r="D501" t="str">
        <f t="shared" si="14"/>
        <v>Normal</v>
      </c>
    </row>
    <row r="502" spans="1:4" x14ac:dyDescent="0.25">
      <c r="A502">
        <v>26488</v>
      </c>
      <c r="C502">
        <f t="shared" si="15"/>
        <v>-1.1743714443883457</v>
      </c>
      <c r="D502" t="str">
        <f t="shared" si="14"/>
        <v>Normal</v>
      </c>
    </row>
    <row r="503" spans="1:4" x14ac:dyDescent="0.25">
      <c r="A503">
        <v>69381</v>
      </c>
      <c r="C503">
        <f t="shared" si="15"/>
        <v>0.19523978229381841</v>
      </c>
      <c r="D503" t="str">
        <f t="shared" si="14"/>
        <v>Normal</v>
      </c>
    </row>
    <row r="504" spans="1:4" x14ac:dyDescent="0.25">
      <c r="A504">
        <v>61568</v>
      </c>
      <c r="C504">
        <f t="shared" si="15"/>
        <v>-5.4236181478073221E-2</v>
      </c>
      <c r="D504" t="str">
        <f t="shared" si="14"/>
        <v>Normal</v>
      </c>
    </row>
    <row r="505" spans="1:4" x14ac:dyDescent="0.25">
      <c r="A505">
        <v>116530</v>
      </c>
      <c r="C505">
        <f t="shared" si="15"/>
        <v>1.7007488333473086</v>
      </c>
      <c r="D505" t="str">
        <f t="shared" si="14"/>
        <v>Normal</v>
      </c>
    </row>
    <row r="506" spans="1:4" x14ac:dyDescent="0.25">
      <c r="A506">
        <v>36366</v>
      </c>
      <c r="C506">
        <f t="shared" si="15"/>
        <v>-0.85895821385734017</v>
      </c>
      <c r="D506" t="str">
        <f t="shared" si="14"/>
        <v>Normal</v>
      </c>
    </row>
    <row r="507" spans="1:4" x14ac:dyDescent="0.25">
      <c r="A507">
        <v>29449</v>
      </c>
      <c r="C507">
        <f t="shared" si="15"/>
        <v>-1.0798241093405316</v>
      </c>
      <c r="D507" t="str">
        <f t="shared" si="14"/>
        <v>Normal</v>
      </c>
    </row>
    <row r="508" spans="1:4" x14ac:dyDescent="0.25">
      <c r="A508">
        <v>87679</v>
      </c>
      <c r="C508">
        <f t="shared" si="15"/>
        <v>0.77951102062711841</v>
      </c>
      <c r="D508" t="str">
        <f t="shared" si="14"/>
        <v>Normal</v>
      </c>
    </row>
    <row r="509" spans="1:4" x14ac:dyDescent="0.25">
      <c r="A509">
        <v>37668</v>
      </c>
      <c r="C509">
        <f t="shared" si="15"/>
        <v>-0.81738420837532266</v>
      </c>
      <c r="D509" t="str">
        <f t="shared" si="14"/>
        <v>Normal</v>
      </c>
    </row>
    <row r="510" spans="1:4" x14ac:dyDescent="0.25">
      <c r="A510">
        <v>26507</v>
      </c>
      <c r="C510">
        <f t="shared" si="15"/>
        <v>-1.1737647576724022</v>
      </c>
      <c r="D510" t="str">
        <f t="shared" si="14"/>
        <v>Normal</v>
      </c>
    </row>
    <row r="511" spans="1:4" x14ac:dyDescent="0.25">
      <c r="A511">
        <v>61374</v>
      </c>
      <c r="C511">
        <f t="shared" si="15"/>
        <v>-6.0430772156653406E-2</v>
      </c>
      <c r="D511" t="str">
        <f t="shared" si="14"/>
        <v>Normal</v>
      </c>
    </row>
    <row r="512" spans="1:4" x14ac:dyDescent="0.25">
      <c r="A512">
        <v>71431</v>
      </c>
      <c r="C512">
        <f t="shared" si="15"/>
        <v>0.2606980858561348</v>
      </c>
      <c r="D512" t="str">
        <f t="shared" si="14"/>
        <v>Normal</v>
      </c>
    </row>
    <row r="513" spans="1:4" x14ac:dyDescent="0.25">
      <c r="A513">
        <v>39902</v>
      </c>
      <c r="C513">
        <f t="shared" si="15"/>
        <v>-0.74605062293229107</v>
      </c>
      <c r="D513" t="str">
        <f t="shared" si="14"/>
        <v>Normal</v>
      </c>
    </row>
    <row r="514" spans="1:4" x14ac:dyDescent="0.25">
      <c r="A514">
        <v>26073</v>
      </c>
      <c r="C514">
        <f t="shared" si="15"/>
        <v>-1.1876227594997415</v>
      </c>
      <c r="D514" t="str">
        <f t="shared" ref="D514:D577" si="16">IF(ABS(C514) &gt; 2.5, "Outlier", "Normal")</f>
        <v>Normal</v>
      </c>
    </row>
    <row r="515" spans="1:4" x14ac:dyDescent="0.25">
      <c r="A515">
        <v>32993</v>
      </c>
      <c r="C515">
        <f t="shared" ref="C515:C578" si="17">(A515 - $B$5) / $B$7</f>
        <v>-0.96666107137719048</v>
      </c>
      <c r="D515" t="str">
        <f t="shared" si="16"/>
        <v>Normal</v>
      </c>
    </row>
    <row r="516" spans="1:4" x14ac:dyDescent="0.25">
      <c r="A516">
        <v>61586</v>
      </c>
      <c r="C516">
        <f t="shared" si="17"/>
        <v>-5.3661425641916297E-2</v>
      </c>
      <c r="D516" t="str">
        <f t="shared" si="16"/>
        <v>Normal</v>
      </c>
    </row>
    <row r="517" spans="1:4" x14ac:dyDescent="0.25">
      <c r="A517">
        <v>38150</v>
      </c>
      <c r="C517">
        <f t="shared" si="17"/>
        <v>-0.80199352431823168</v>
      </c>
      <c r="D517" t="str">
        <f t="shared" si="16"/>
        <v>Normal</v>
      </c>
    </row>
    <row r="518" spans="1:4" x14ac:dyDescent="0.25">
      <c r="A518">
        <v>97664</v>
      </c>
      <c r="C518">
        <f t="shared" si="17"/>
        <v>1.0983408552952789</v>
      </c>
      <c r="D518" t="str">
        <f t="shared" si="16"/>
        <v>Normal</v>
      </c>
    </row>
    <row r="519" spans="1:4" x14ac:dyDescent="0.25">
      <c r="A519">
        <v>77510</v>
      </c>
      <c r="C519">
        <f t="shared" si="17"/>
        <v>0.45480590407824273</v>
      </c>
      <c r="D519" t="str">
        <f t="shared" si="16"/>
        <v>Normal</v>
      </c>
    </row>
    <row r="520" spans="1:4" x14ac:dyDescent="0.25">
      <c r="A520">
        <v>21101</v>
      </c>
      <c r="C520">
        <f t="shared" si="17"/>
        <v>-1.3463830937981984</v>
      </c>
      <c r="D520" t="str">
        <f t="shared" si="16"/>
        <v>Normal</v>
      </c>
    </row>
    <row r="521" spans="1:4" x14ac:dyDescent="0.25">
      <c r="A521">
        <v>125663</v>
      </c>
      <c r="C521">
        <f t="shared" si="17"/>
        <v>1.9923735584373747</v>
      </c>
      <c r="D521" t="str">
        <f t="shared" si="16"/>
        <v>Normal</v>
      </c>
    </row>
    <row r="522" spans="1:4" x14ac:dyDescent="0.25">
      <c r="A522">
        <v>53486</v>
      </c>
      <c r="C522">
        <f t="shared" si="17"/>
        <v>-0.31230155191253223</v>
      </c>
      <c r="D522" t="str">
        <f t="shared" si="16"/>
        <v>Normal</v>
      </c>
    </row>
    <row r="523" spans="1:4" x14ac:dyDescent="0.25">
      <c r="A523">
        <v>42934</v>
      </c>
      <c r="C523">
        <f t="shared" si="17"/>
        <v>-0.64923619541963584</v>
      </c>
      <c r="D523" t="str">
        <f t="shared" si="16"/>
        <v>Normal</v>
      </c>
    </row>
    <row r="524" spans="1:4" x14ac:dyDescent="0.25">
      <c r="A524">
        <v>23165</v>
      </c>
      <c r="C524">
        <f t="shared" si="17"/>
        <v>-1.2804777579188711</v>
      </c>
      <c r="D524" t="str">
        <f t="shared" si="16"/>
        <v>Normal</v>
      </c>
    </row>
    <row r="525" spans="1:4" x14ac:dyDescent="0.25">
      <c r="A525">
        <v>26183</v>
      </c>
      <c r="C525">
        <f t="shared" si="17"/>
        <v>-1.1841103627232268</v>
      </c>
      <c r="D525" t="str">
        <f t="shared" si="16"/>
        <v>Normal</v>
      </c>
    </row>
    <row r="526" spans="1:4" x14ac:dyDescent="0.25">
      <c r="A526">
        <v>29598</v>
      </c>
      <c r="C526">
        <f t="shared" si="17"/>
        <v>-1.0750664082523438</v>
      </c>
      <c r="D526" t="str">
        <f t="shared" si="16"/>
        <v>Normal</v>
      </c>
    </row>
    <row r="527" spans="1:4" x14ac:dyDescent="0.25">
      <c r="A527">
        <v>95330</v>
      </c>
      <c r="C527">
        <f t="shared" si="17"/>
        <v>1.0238141818735977</v>
      </c>
      <c r="D527" t="str">
        <f t="shared" si="16"/>
        <v>Normal</v>
      </c>
    </row>
    <row r="528" spans="1:4" x14ac:dyDescent="0.25">
      <c r="A528">
        <v>91754</v>
      </c>
      <c r="C528">
        <f t="shared" si="17"/>
        <v>0.90962935575708881</v>
      </c>
      <c r="D528" t="str">
        <f t="shared" si="16"/>
        <v>Normal</v>
      </c>
    </row>
    <row r="529" spans="1:4" x14ac:dyDescent="0.25">
      <c r="A529">
        <v>43669</v>
      </c>
      <c r="C529">
        <f t="shared" si="17"/>
        <v>-0.62576699877656139</v>
      </c>
      <c r="D529" t="str">
        <f t="shared" si="16"/>
        <v>Normal</v>
      </c>
    </row>
    <row r="530" spans="1:4" x14ac:dyDescent="0.25">
      <c r="A530">
        <v>93446</v>
      </c>
      <c r="C530">
        <f t="shared" si="17"/>
        <v>0.96365640435583966</v>
      </c>
      <c r="D530" t="str">
        <f t="shared" si="16"/>
        <v>Normal</v>
      </c>
    </row>
    <row r="531" spans="1:4" x14ac:dyDescent="0.25">
      <c r="A531">
        <v>22540</v>
      </c>
      <c r="C531">
        <f t="shared" si="17"/>
        <v>-1.300434557785431</v>
      </c>
      <c r="D531" t="str">
        <f t="shared" si="16"/>
        <v>Normal</v>
      </c>
    </row>
    <row r="532" spans="1:4" x14ac:dyDescent="0.25">
      <c r="A532">
        <v>20594</v>
      </c>
      <c r="C532">
        <f t="shared" si="17"/>
        <v>-1.3625720498499518</v>
      </c>
      <c r="D532" t="str">
        <f t="shared" si="16"/>
        <v>Normal</v>
      </c>
    </row>
    <row r="533" spans="1:4" x14ac:dyDescent="0.25">
      <c r="A533">
        <v>89247</v>
      </c>
      <c r="C533">
        <f t="shared" si="17"/>
        <v>0.82957864013234384</v>
      </c>
      <c r="D533" t="str">
        <f t="shared" si="16"/>
        <v>Normal</v>
      </c>
    </row>
    <row r="534" spans="1:4" x14ac:dyDescent="0.25">
      <c r="A534">
        <v>53292</v>
      </c>
      <c r="C534">
        <f t="shared" si="17"/>
        <v>-0.31849614259111242</v>
      </c>
      <c r="D534" t="str">
        <f t="shared" si="16"/>
        <v>Normal</v>
      </c>
    </row>
    <row r="535" spans="1:4" x14ac:dyDescent="0.25">
      <c r="A535">
        <v>58438</v>
      </c>
      <c r="C535">
        <f t="shared" si="17"/>
        <v>-0.15417983520980505</v>
      </c>
      <c r="D535" t="str">
        <f t="shared" si="16"/>
        <v>Normal</v>
      </c>
    </row>
    <row r="536" spans="1:4" x14ac:dyDescent="0.25">
      <c r="A536">
        <v>64374</v>
      </c>
      <c r="C536">
        <f t="shared" si="17"/>
        <v>3.536186720283397E-2</v>
      </c>
      <c r="D536" t="str">
        <f t="shared" si="16"/>
        <v>Normal</v>
      </c>
    </row>
    <row r="537" spans="1:4" x14ac:dyDescent="0.25">
      <c r="A537">
        <v>38151</v>
      </c>
      <c r="C537">
        <f t="shared" si="17"/>
        <v>-0.8019615934384452</v>
      </c>
      <c r="D537" t="str">
        <f t="shared" si="16"/>
        <v>Normal</v>
      </c>
    </row>
    <row r="538" spans="1:4" x14ac:dyDescent="0.25">
      <c r="A538">
        <v>66948</v>
      </c>
      <c r="C538">
        <f t="shared" si="17"/>
        <v>0.11755195177327414</v>
      </c>
      <c r="D538" t="str">
        <f t="shared" si="16"/>
        <v>Normal</v>
      </c>
    </row>
    <row r="539" spans="1:4" x14ac:dyDescent="0.25">
      <c r="A539">
        <v>24254</v>
      </c>
      <c r="C539">
        <f t="shared" si="17"/>
        <v>-1.2457050298313772</v>
      </c>
      <c r="D539" t="str">
        <f t="shared" si="16"/>
        <v>Normal</v>
      </c>
    </row>
    <row r="540" spans="1:4" x14ac:dyDescent="0.25">
      <c r="A540">
        <v>62038</v>
      </c>
      <c r="C540">
        <f t="shared" si="17"/>
        <v>-3.9228667978420201E-2</v>
      </c>
      <c r="D540" t="str">
        <f t="shared" si="16"/>
        <v>Normal</v>
      </c>
    </row>
    <row r="541" spans="1:4" x14ac:dyDescent="0.25">
      <c r="A541">
        <v>66216</v>
      </c>
      <c r="C541">
        <f t="shared" si="17"/>
        <v>9.4178547769559223E-2</v>
      </c>
      <c r="D541" t="str">
        <f t="shared" si="16"/>
        <v>Normal</v>
      </c>
    </row>
    <row r="542" spans="1:4" x14ac:dyDescent="0.25">
      <c r="A542">
        <v>30686</v>
      </c>
      <c r="C542">
        <f t="shared" si="17"/>
        <v>-1.0403256110446364</v>
      </c>
      <c r="D542" t="str">
        <f t="shared" si="16"/>
        <v>Normal</v>
      </c>
    </row>
    <row r="543" spans="1:4" x14ac:dyDescent="0.25">
      <c r="A543">
        <v>19912</v>
      </c>
      <c r="C543">
        <f t="shared" si="17"/>
        <v>-1.384348909864342</v>
      </c>
      <c r="D543" t="str">
        <f t="shared" si="16"/>
        <v>Normal</v>
      </c>
    </row>
    <row r="544" spans="1:4" x14ac:dyDescent="0.25">
      <c r="A544">
        <v>21966</v>
      </c>
      <c r="C544">
        <f t="shared" si="17"/>
        <v>-1.3187628827828797</v>
      </c>
      <c r="D544" t="str">
        <f t="shared" si="16"/>
        <v>Normal</v>
      </c>
    </row>
    <row r="545" spans="1:4" x14ac:dyDescent="0.25">
      <c r="A545">
        <v>23907</v>
      </c>
      <c r="C545">
        <f t="shared" si="17"/>
        <v>-1.2567850451172913</v>
      </c>
      <c r="D545" t="str">
        <f t="shared" si="16"/>
        <v>Normal</v>
      </c>
    </row>
    <row r="546" spans="1:4" x14ac:dyDescent="0.25">
      <c r="A546">
        <v>25390</v>
      </c>
      <c r="C546">
        <f t="shared" si="17"/>
        <v>-1.2094315503939181</v>
      </c>
      <c r="D546" t="str">
        <f t="shared" si="16"/>
        <v>Normal</v>
      </c>
    </row>
    <row r="547" spans="1:4" x14ac:dyDescent="0.25">
      <c r="A547">
        <v>21046</v>
      </c>
      <c r="C547">
        <f t="shared" si="17"/>
        <v>-1.3481392921864557</v>
      </c>
      <c r="D547" t="str">
        <f t="shared" si="16"/>
        <v>Normal</v>
      </c>
    </row>
    <row r="548" spans="1:4" x14ac:dyDescent="0.25">
      <c r="A548">
        <v>74504</v>
      </c>
      <c r="C548">
        <f t="shared" si="17"/>
        <v>0.35882167944003635</v>
      </c>
      <c r="D548" t="str">
        <f t="shared" si="16"/>
        <v>Normal</v>
      </c>
    </row>
    <row r="549" spans="1:4" x14ac:dyDescent="0.25">
      <c r="A549">
        <v>31755</v>
      </c>
      <c r="C549">
        <f t="shared" si="17"/>
        <v>-1.0061915005528723</v>
      </c>
      <c r="D549" t="str">
        <f t="shared" si="16"/>
        <v>Normal</v>
      </c>
    </row>
    <row r="550" spans="1:4" x14ac:dyDescent="0.25">
      <c r="A550">
        <v>27918</v>
      </c>
      <c r="C550">
        <f t="shared" si="17"/>
        <v>-1.1287102862936567</v>
      </c>
      <c r="D550" t="str">
        <f t="shared" si="16"/>
        <v>Normal</v>
      </c>
    </row>
    <row r="551" spans="1:4" x14ac:dyDescent="0.25">
      <c r="A551">
        <v>41345</v>
      </c>
      <c r="C551">
        <f t="shared" si="17"/>
        <v>-0.69997436340037766</v>
      </c>
      <c r="D551" t="str">
        <f t="shared" si="16"/>
        <v>Normal</v>
      </c>
    </row>
    <row r="552" spans="1:4" x14ac:dyDescent="0.25">
      <c r="A552">
        <v>73493</v>
      </c>
      <c r="C552">
        <f t="shared" si="17"/>
        <v>0.32653955997588913</v>
      </c>
      <c r="D552" t="str">
        <f t="shared" si="16"/>
        <v>Normal</v>
      </c>
    </row>
    <row r="553" spans="1:4" x14ac:dyDescent="0.25">
      <c r="A553">
        <v>49323</v>
      </c>
      <c r="C553">
        <f t="shared" si="17"/>
        <v>-0.44522980446371424</v>
      </c>
      <c r="D553" t="str">
        <f t="shared" si="16"/>
        <v>Normal</v>
      </c>
    </row>
    <row r="554" spans="1:4" x14ac:dyDescent="0.25">
      <c r="A554">
        <v>31457</v>
      </c>
      <c r="C554">
        <f t="shared" si="17"/>
        <v>-1.015706902729248</v>
      </c>
      <c r="D554" t="str">
        <f t="shared" si="16"/>
        <v>Normal</v>
      </c>
    </row>
    <row r="555" spans="1:4" x14ac:dyDescent="0.25">
      <c r="A555">
        <v>97050</v>
      </c>
      <c r="C555">
        <f t="shared" si="17"/>
        <v>1.0787352951063705</v>
      </c>
      <c r="D555" t="str">
        <f t="shared" si="16"/>
        <v>Normal</v>
      </c>
    </row>
    <row r="556" spans="1:4" x14ac:dyDescent="0.25">
      <c r="A556">
        <v>56598</v>
      </c>
      <c r="C556">
        <f t="shared" si="17"/>
        <v>-0.21293265401695732</v>
      </c>
      <c r="D556" t="str">
        <f t="shared" si="16"/>
        <v>Normal</v>
      </c>
    </row>
    <row r="557" spans="1:4" x14ac:dyDescent="0.25">
      <c r="A557">
        <v>84431</v>
      </c>
      <c r="C557">
        <f t="shared" si="17"/>
        <v>0.67579952308058011</v>
      </c>
      <c r="D557" t="str">
        <f t="shared" si="16"/>
        <v>Normal</v>
      </c>
    </row>
    <row r="558" spans="1:4" x14ac:dyDescent="0.25">
      <c r="A558">
        <v>66485</v>
      </c>
      <c r="C558">
        <f t="shared" si="17"/>
        <v>0.10276795443212659</v>
      </c>
      <c r="D558" t="str">
        <f t="shared" si="16"/>
        <v>Normal</v>
      </c>
    </row>
    <row r="559" spans="1:4" x14ac:dyDescent="0.25">
      <c r="A559">
        <v>24976</v>
      </c>
      <c r="C559">
        <f t="shared" si="17"/>
        <v>-1.2226509346255272</v>
      </c>
      <c r="D559" t="str">
        <f t="shared" si="16"/>
        <v>Normal</v>
      </c>
    </row>
    <row r="560" spans="1:4" x14ac:dyDescent="0.25">
      <c r="A560">
        <v>67708</v>
      </c>
      <c r="C560">
        <f t="shared" si="17"/>
        <v>0.14181942041101095</v>
      </c>
      <c r="D560" t="str">
        <f t="shared" si="16"/>
        <v>Normal</v>
      </c>
    </row>
    <row r="561" spans="1:4" x14ac:dyDescent="0.25">
      <c r="A561">
        <v>38125</v>
      </c>
      <c r="C561">
        <f t="shared" si="17"/>
        <v>-0.8027917963128941</v>
      </c>
      <c r="D561" t="str">
        <f t="shared" si="16"/>
        <v>Normal</v>
      </c>
    </row>
    <row r="562" spans="1:4" x14ac:dyDescent="0.25">
      <c r="A562">
        <v>43608</v>
      </c>
      <c r="C562">
        <f t="shared" si="17"/>
        <v>-0.62771478244353773</v>
      </c>
      <c r="D562" t="str">
        <f t="shared" si="16"/>
        <v>Normal</v>
      </c>
    </row>
    <row r="563" spans="1:4" x14ac:dyDescent="0.25">
      <c r="A563">
        <v>98366</v>
      </c>
      <c r="C563">
        <f t="shared" si="17"/>
        <v>1.1207563329053989</v>
      </c>
      <c r="D563" t="str">
        <f t="shared" si="16"/>
        <v>Normal</v>
      </c>
    </row>
    <row r="564" spans="1:4" x14ac:dyDescent="0.25">
      <c r="A564">
        <v>22578</v>
      </c>
      <c r="C564">
        <f t="shared" si="17"/>
        <v>-1.2992211843535442</v>
      </c>
      <c r="D564" t="str">
        <f t="shared" si="16"/>
        <v>Normal</v>
      </c>
    </row>
    <row r="565" spans="1:4" x14ac:dyDescent="0.25">
      <c r="A565">
        <v>22611</v>
      </c>
      <c r="C565">
        <f t="shared" si="17"/>
        <v>-1.2981674653205899</v>
      </c>
      <c r="D565" t="str">
        <f t="shared" si="16"/>
        <v>Normal</v>
      </c>
    </row>
    <row r="566" spans="1:4" x14ac:dyDescent="0.25">
      <c r="A566">
        <v>79230</v>
      </c>
      <c r="C566">
        <f t="shared" si="17"/>
        <v>0.50972701731101544</v>
      </c>
      <c r="D566" t="str">
        <f t="shared" si="16"/>
        <v>Normal</v>
      </c>
    </row>
    <row r="567" spans="1:4" x14ac:dyDescent="0.25">
      <c r="A567">
        <v>107610</v>
      </c>
      <c r="C567">
        <f t="shared" si="17"/>
        <v>1.4159253856517662</v>
      </c>
      <c r="D567" t="str">
        <f t="shared" si="16"/>
        <v>Normal</v>
      </c>
    </row>
    <row r="568" spans="1:4" x14ac:dyDescent="0.25">
      <c r="A568">
        <v>24220</v>
      </c>
      <c r="C568">
        <f t="shared" si="17"/>
        <v>-1.2467906797441182</v>
      </c>
      <c r="D568" t="str">
        <f t="shared" si="16"/>
        <v>Normal</v>
      </c>
    </row>
    <row r="569" spans="1:4" x14ac:dyDescent="0.25">
      <c r="A569">
        <v>91864</v>
      </c>
      <c r="C569">
        <f t="shared" si="17"/>
        <v>0.9131417525336033</v>
      </c>
      <c r="D569" t="str">
        <f t="shared" si="16"/>
        <v>Normal</v>
      </c>
    </row>
    <row r="570" spans="1:4" x14ac:dyDescent="0.25">
      <c r="A570">
        <v>119060</v>
      </c>
      <c r="C570">
        <f t="shared" si="17"/>
        <v>1.7815339592071429</v>
      </c>
      <c r="D570" t="str">
        <f t="shared" si="16"/>
        <v>Normal</v>
      </c>
    </row>
    <row r="571" spans="1:4" x14ac:dyDescent="0.25">
      <c r="A571">
        <v>56143</v>
      </c>
      <c r="C571">
        <f t="shared" si="17"/>
        <v>-0.2274612043198129</v>
      </c>
      <c r="D571" t="str">
        <f t="shared" si="16"/>
        <v>Normal</v>
      </c>
    </row>
    <row r="572" spans="1:4" x14ac:dyDescent="0.25">
      <c r="A572">
        <v>49639</v>
      </c>
      <c r="C572">
        <f t="shared" si="17"/>
        <v>-0.43513964645118153</v>
      </c>
      <c r="D572" t="str">
        <f t="shared" si="16"/>
        <v>Normal</v>
      </c>
    </row>
    <row r="573" spans="1:4" x14ac:dyDescent="0.25">
      <c r="A573">
        <v>37021</v>
      </c>
      <c r="C573">
        <f t="shared" si="17"/>
        <v>-0.8380434875971855</v>
      </c>
      <c r="D573" t="str">
        <f t="shared" si="16"/>
        <v>Normal</v>
      </c>
    </row>
    <row r="574" spans="1:4" x14ac:dyDescent="0.25">
      <c r="A574">
        <v>79627</v>
      </c>
      <c r="C574">
        <f t="shared" si="17"/>
        <v>0.52240357658625436</v>
      </c>
      <c r="D574" t="str">
        <f t="shared" si="16"/>
        <v>Normal</v>
      </c>
    </row>
    <row r="575" spans="1:4" x14ac:dyDescent="0.25">
      <c r="A575">
        <v>123838</v>
      </c>
      <c r="C575">
        <f t="shared" si="17"/>
        <v>1.9340997028270199</v>
      </c>
      <c r="D575" t="str">
        <f t="shared" si="16"/>
        <v>Normal</v>
      </c>
    </row>
    <row r="576" spans="1:4" x14ac:dyDescent="0.25">
      <c r="A576">
        <v>20595</v>
      </c>
      <c r="C576">
        <f t="shared" si="17"/>
        <v>-1.3625401189701654</v>
      </c>
      <c r="D576" t="str">
        <f t="shared" si="16"/>
        <v>Normal</v>
      </c>
    </row>
    <row r="577" spans="1:4" x14ac:dyDescent="0.25">
      <c r="A577">
        <v>31163</v>
      </c>
      <c r="C577">
        <f t="shared" si="17"/>
        <v>-1.0250945813864778</v>
      </c>
      <c r="D577" t="str">
        <f t="shared" si="16"/>
        <v>Normal</v>
      </c>
    </row>
    <row r="578" spans="1:4" x14ac:dyDescent="0.25">
      <c r="A578">
        <v>45293</v>
      </c>
      <c r="C578">
        <f t="shared" si="17"/>
        <v>-0.57391125000329224</v>
      </c>
      <c r="D578" t="str">
        <f t="shared" ref="D578:D641" si="18">IF(ABS(C578) &gt; 2.5, "Outlier", "Normal")</f>
        <v>Normal</v>
      </c>
    </row>
    <row r="579" spans="1:4" x14ac:dyDescent="0.25">
      <c r="A579">
        <v>40614</v>
      </c>
      <c r="C579">
        <f t="shared" ref="C579:C642" si="19">(A579 - $B$5) / $B$7</f>
        <v>-0.72331583652430609</v>
      </c>
      <c r="D579" t="str">
        <f t="shared" si="18"/>
        <v>Normal</v>
      </c>
    </row>
    <row r="580" spans="1:4" x14ac:dyDescent="0.25">
      <c r="A580">
        <v>83864</v>
      </c>
      <c r="C580">
        <f t="shared" si="19"/>
        <v>0.65769471424163695</v>
      </c>
      <c r="D580" t="str">
        <f t="shared" si="18"/>
        <v>Normal</v>
      </c>
    </row>
    <row r="581" spans="1:4" x14ac:dyDescent="0.25">
      <c r="A581">
        <v>67211</v>
      </c>
      <c r="C581">
        <f t="shared" si="19"/>
        <v>0.12594977315712255</v>
      </c>
      <c r="D581" t="str">
        <f t="shared" si="18"/>
        <v>Normal</v>
      </c>
    </row>
    <row r="582" spans="1:4" x14ac:dyDescent="0.25">
      <c r="A582">
        <v>31441</v>
      </c>
      <c r="C582">
        <f t="shared" si="19"/>
        <v>-1.0162177968058319</v>
      </c>
      <c r="D582" t="str">
        <f t="shared" si="18"/>
        <v>Normal</v>
      </c>
    </row>
    <row r="583" spans="1:4" x14ac:dyDescent="0.25">
      <c r="A583">
        <v>110841</v>
      </c>
      <c r="C583">
        <f t="shared" si="19"/>
        <v>1.5190940582419341</v>
      </c>
      <c r="D583" t="str">
        <f t="shared" si="18"/>
        <v>Normal</v>
      </c>
    </row>
    <row r="584" spans="1:4" x14ac:dyDescent="0.25">
      <c r="A584">
        <v>45202</v>
      </c>
      <c r="C584">
        <f t="shared" si="19"/>
        <v>-0.5768169600638634</v>
      </c>
      <c r="D584" t="str">
        <f t="shared" si="18"/>
        <v>Normal</v>
      </c>
    </row>
    <row r="585" spans="1:4" x14ac:dyDescent="0.25">
      <c r="A585">
        <v>122551</v>
      </c>
      <c r="C585">
        <f t="shared" si="19"/>
        <v>1.8930046605417998</v>
      </c>
      <c r="D585" t="str">
        <f t="shared" si="18"/>
        <v>Normal</v>
      </c>
    </row>
    <row r="586" spans="1:4" x14ac:dyDescent="0.25">
      <c r="A586">
        <v>69544</v>
      </c>
      <c r="C586">
        <f t="shared" si="19"/>
        <v>0.20044451569901722</v>
      </c>
      <c r="D586" t="str">
        <f t="shared" si="18"/>
        <v>Normal</v>
      </c>
    </row>
    <row r="587" spans="1:4" x14ac:dyDescent="0.25">
      <c r="A587">
        <v>92704</v>
      </c>
      <c r="C587">
        <f t="shared" si="19"/>
        <v>0.93996369155425985</v>
      </c>
      <c r="D587" t="str">
        <f t="shared" si="18"/>
        <v>Normal</v>
      </c>
    </row>
    <row r="588" spans="1:4" x14ac:dyDescent="0.25">
      <c r="A588">
        <v>71766</v>
      </c>
      <c r="C588">
        <f t="shared" si="19"/>
        <v>0.27139493058461089</v>
      </c>
      <c r="D588" t="str">
        <f t="shared" si="18"/>
        <v>Normal</v>
      </c>
    </row>
    <row r="589" spans="1:4" x14ac:dyDescent="0.25">
      <c r="A589">
        <v>27324</v>
      </c>
      <c r="C589">
        <f t="shared" si="19"/>
        <v>-1.1476772288868351</v>
      </c>
      <c r="D589" t="str">
        <f t="shared" si="18"/>
        <v>Normal</v>
      </c>
    </row>
    <row r="590" spans="1:4" x14ac:dyDescent="0.25">
      <c r="A590">
        <v>139395</v>
      </c>
      <c r="C590">
        <f t="shared" si="19"/>
        <v>2.4308483996655346</v>
      </c>
      <c r="D590" t="str">
        <f t="shared" si="18"/>
        <v>Normal</v>
      </c>
    </row>
    <row r="591" spans="1:4" x14ac:dyDescent="0.25">
      <c r="A591">
        <v>54259</v>
      </c>
      <c r="C591">
        <f t="shared" si="19"/>
        <v>-0.28761898183757095</v>
      </c>
      <c r="D591" t="str">
        <f t="shared" si="18"/>
        <v>Normal</v>
      </c>
    </row>
    <row r="592" spans="1:4" x14ac:dyDescent="0.25">
      <c r="A592">
        <v>94294</v>
      </c>
      <c r="C592">
        <f t="shared" si="19"/>
        <v>0.99073379041478815</v>
      </c>
      <c r="D592" t="str">
        <f t="shared" si="18"/>
        <v>Normal</v>
      </c>
    </row>
    <row r="593" spans="1:4" x14ac:dyDescent="0.25">
      <c r="A593">
        <v>56603</v>
      </c>
      <c r="C593">
        <f t="shared" si="19"/>
        <v>-0.21277299961802484</v>
      </c>
      <c r="D593" t="str">
        <f t="shared" si="18"/>
        <v>Normal</v>
      </c>
    </row>
    <row r="594" spans="1:4" x14ac:dyDescent="0.25">
      <c r="A594">
        <v>43200</v>
      </c>
      <c r="C594">
        <f t="shared" si="19"/>
        <v>-0.64074258139642792</v>
      </c>
      <c r="D594" t="str">
        <f t="shared" si="18"/>
        <v>Normal</v>
      </c>
    </row>
    <row r="595" spans="1:4" x14ac:dyDescent="0.25">
      <c r="A595">
        <v>89212</v>
      </c>
      <c r="C595">
        <f t="shared" si="19"/>
        <v>0.82846105933981651</v>
      </c>
      <c r="D595" t="str">
        <f t="shared" si="18"/>
        <v>Normal</v>
      </c>
    </row>
    <row r="596" spans="1:4" x14ac:dyDescent="0.25">
      <c r="A596">
        <v>90009</v>
      </c>
      <c r="C596">
        <f t="shared" si="19"/>
        <v>0.85390997052965367</v>
      </c>
      <c r="D596" t="str">
        <f t="shared" si="18"/>
        <v>Normal</v>
      </c>
    </row>
    <row r="597" spans="1:4" x14ac:dyDescent="0.25">
      <c r="A597">
        <v>21240</v>
      </c>
      <c r="C597">
        <f t="shared" si="19"/>
        <v>-1.3419447015078756</v>
      </c>
      <c r="D597" t="str">
        <f t="shared" si="18"/>
        <v>Normal</v>
      </c>
    </row>
    <row r="598" spans="1:4" x14ac:dyDescent="0.25">
      <c r="A598">
        <v>72482</v>
      </c>
      <c r="C598">
        <f t="shared" si="19"/>
        <v>0.29425744051174185</v>
      </c>
      <c r="D598" t="str">
        <f t="shared" si="18"/>
        <v>Normal</v>
      </c>
    </row>
    <row r="599" spans="1:4" x14ac:dyDescent="0.25">
      <c r="A599">
        <v>98087</v>
      </c>
      <c r="C599">
        <f t="shared" si="19"/>
        <v>1.1118476174449667</v>
      </c>
      <c r="D599" t="str">
        <f t="shared" si="18"/>
        <v>Normal</v>
      </c>
    </row>
    <row r="600" spans="1:4" x14ac:dyDescent="0.25">
      <c r="A600">
        <v>71903</v>
      </c>
      <c r="C600">
        <f t="shared" si="19"/>
        <v>0.27576946111536083</v>
      </c>
      <c r="D600" t="str">
        <f t="shared" si="18"/>
        <v>Normal</v>
      </c>
    </row>
    <row r="601" spans="1:4" x14ac:dyDescent="0.25">
      <c r="A601">
        <v>57645</v>
      </c>
      <c r="C601">
        <f t="shared" si="19"/>
        <v>-0.17950102288049621</v>
      </c>
      <c r="D601" t="str">
        <f t="shared" si="18"/>
        <v>Normal</v>
      </c>
    </row>
    <row r="602" spans="1:4" x14ac:dyDescent="0.25">
      <c r="A602">
        <v>81470</v>
      </c>
      <c r="C602">
        <f t="shared" si="19"/>
        <v>0.58125218803276602</v>
      </c>
      <c r="D602" t="str">
        <f t="shared" si="18"/>
        <v>Normal</v>
      </c>
    </row>
    <row r="603" spans="1:4" x14ac:dyDescent="0.25">
      <c r="A603">
        <v>39663</v>
      </c>
      <c r="C603">
        <f t="shared" si="19"/>
        <v>-0.75368210320126361</v>
      </c>
      <c r="D603" t="str">
        <f t="shared" si="18"/>
        <v>Normal</v>
      </c>
    </row>
    <row r="604" spans="1:4" x14ac:dyDescent="0.25">
      <c r="A604">
        <v>65443</v>
      </c>
      <c r="C604">
        <f t="shared" si="19"/>
        <v>6.9495977694597977E-2</v>
      </c>
      <c r="D604" t="str">
        <f t="shared" si="18"/>
        <v>Normal</v>
      </c>
    </row>
    <row r="605" spans="1:4" x14ac:dyDescent="0.25">
      <c r="A605">
        <v>121300</v>
      </c>
      <c r="C605">
        <f t="shared" si="19"/>
        <v>1.8530591299288934</v>
      </c>
      <c r="D605" t="str">
        <f t="shared" si="18"/>
        <v>Normal</v>
      </c>
    </row>
    <row r="606" spans="1:4" x14ac:dyDescent="0.25">
      <c r="A606">
        <v>82372</v>
      </c>
      <c r="C606">
        <f t="shared" si="19"/>
        <v>0.61005384160018528</v>
      </c>
      <c r="D606" t="str">
        <f t="shared" si="18"/>
        <v>Normal</v>
      </c>
    </row>
    <row r="607" spans="1:4" x14ac:dyDescent="0.25">
      <c r="A607">
        <v>43477</v>
      </c>
      <c r="C607">
        <f t="shared" si="19"/>
        <v>-0.63189772769556862</v>
      </c>
      <c r="D607" t="str">
        <f t="shared" si="18"/>
        <v>Normal</v>
      </c>
    </row>
    <row r="608" spans="1:4" x14ac:dyDescent="0.25">
      <c r="A608">
        <v>102198</v>
      </c>
      <c r="C608">
        <f t="shared" si="19"/>
        <v>1.2431154642472508</v>
      </c>
      <c r="D608" t="str">
        <f t="shared" si="18"/>
        <v>Normal</v>
      </c>
    </row>
    <row r="609" spans="1:4" x14ac:dyDescent="0.25">
      <c r="A609">
        <v>46395</v>
      </c>
      <c r="C609">
        <f t="shared" si="19"/>
        <v>-0.53872342047857391</v>
      </c>
      <c r="D609" t="str">
        <f t="shared" si="18"/>
        <v>Normal</v>
      </c>
    </row>
    <row r="610" spans="1:4" x14ac:dyDescent="0.25">
      <c r="A610">
        <v>35796</v>
      </c>
      <c r="C610">
        <f t="shared" si="19"/>
        <v>-0.87715881533564277</v>
      </c>
      <c r="D610" t="str">
        <f t="shared" si="18"/>
        <v>Normal</v>
      </c>
    </row>
    <row r="611" spans="1:4" x14ac:dyDescent="0.25">
      <c r="A611">
        <v>20999</v>
      </c>
      <c r="C611">
        <f t="shared" si="19"/>
        <v>-1.3496400435364211</v>
      </c>
      <c r="D611" t="str">
        <f t="shared" si="18"/>
        <v>Normal</v>
      </c>
    </row>
    <row r="612" spans="1:4" x14ac:dyDescent="0.25">
      <c r="A612">
        <v>56285</v>
      </c>
      <c r="C612">
        <f t="shared" si="19"/>
        <v>-0.22292701939013052</v>
      </c>
      <c r="D612" t="str">
        <f t="shared" si="18"/>
        <v>Normal</v>
      </c>
    </row>
    <row r="613" spans="1:4" x14ac:dyDescent="0.25">
      <c r="A613">
        <v>93929</v>
      </c>
      <c r="C613">
        <f t="shared" si="19"/>
        <v>0.97907901929271712</v>
      </c>
      <c r="D613" t="str">
        <f t="shared" si="18"/>
        <v>Normal</v>
      </c>
    </row>
    <row r="614" spans="1:4" x14ac:dyDescent="0.25">
      <c r="A614">
        <v>74739</v>
      </c>
      <c r="C614">
        <f t="shared" si="19"/>
        <v>0.36632543618986285</v>
      </c>
      <c r="D614" t="str">
        <f t="shared" si="18"/>
        <v>Normal</v>
      </c>
    </row>
    <row r="615" spans="1:4" x14ac:dyDescent="0.25">
      <c r="A615">
        <v>96536</v>
      </c>
      <c r="C615">
        <f t="shared" si="19"/>
        <v>1.0623228228961117</v>
      </c>
      <c r="D615" t="str">
        <f t="shared" si="18"/>
        <v>Normal</v>
      </c>
    </row>
    <row r="616" spans="1:4" x14ac:dyDescent="0.25">
      <c r="A616">
        <v>36941</v>
      </c>
      <c r="C616">
        <f t="shared" si="19"/>
        <v>-0.84059795798010517</v>
      </c>
      <c r="D616" t="str">
        <f t="shared" si="18"/>
        <v>Normal</v>
      </c>
    </row>
    <row r="617" spans="1:4" x14ac:dyDescent="0.25">
      <c r="A617">
        <v>37869</v>
      </c>
      <c r="C617">
        <f t="shared" si="19"/>
        <v>-0.81096610153823701</v>
      </c>
      <c r="D617" t="str">
        <f t="shared" si="18"/>
        <v>Normal</v>
      </c>
    </row>
    <row r="618" spans="1:4" x14ac:dyDescent="0.25">
      <c r="A618">
        <v>129636</v>
      </c>
      <c r="C618">
        <f t="shared" si="19"/>
        <v>2.119234943829122</v>
      </c>
      <c r="D618" t="str">
        <f t="shared" si="18"/>
        <v>Normal</v>
      </c>
    </row>
    <row r="619" spans="1:4" x14ac:dyDescent="0.25">
      <c r="A619">
        <v>39755</v>
      </c>
      <c r="C619">
        <f t="shared" si="19"/>
        <v>-0.75074446226090596</v>
      </c>
      <c r="D619" t="str">
        <f t="shared" si="18"/>
        <v>Normal</v>
      </c>
    </row>
    <row r="620" spans="1:4" x14ac:dyDescent="0.25">
      <c r="A620">
        <v>132098</v>
      </c>
      <c r="C620">
        <f t="shared" si="19"/>
        <v>2.1978487698634748</v>
      </c>
      <c r="D620" t="str">
        <f t="shared" si="18"/>
        <v>Normal</v>
      </c>
    </row>
    <row r="621" spans="1:4" x14ac:dyDescent="0.25">
      <c r="A621">
        <v>29568</v>
      </c>
      <c r="C621">
        <f t="shared" si="19"/>
        <v>-1.0760243346459386</v>
      </c>
      <c r="D621" t="str">
        <f t="shared" si="18"/>
        <v>Normal</v>
      </c>
    </row>
    <row r="622" spans="1:4" x14ac:dyDescent="0.25">
      <c r="A622">
        <v>51789</v>
      </c>
      <c r="C622">
        <f t="shared" si="19"/>
        <v>-0.36648825491021558</v>
      </c>
      <c r="D622" t="str">
        <f t="shared" si="18"/>
        <v>Normal</v>
      </c>
    </row>
    <row r="623" spans="1:4" x14ac:dyDescent="0.25">
      <c r="A623">
        <v>97151</v>
      </c>
      <c r="C623">
        <f t="shared" si="19"/>
        <v>1.0819603139648066</v>
      </c>
      <c r="D623" t="str">
        <f t="shared" si="18"/>
        <v>Normal</v>
      </c>
    </row>
    <row r="624" spans="1:4" x14ac:dyDescent="0.25">
      <c r="A624">
        <v>51840</v>
      </c>
      <c r="C624">
        <f t="shared" si="19"/>
        <v>-0.36485978004110431</v>
      </c>
      <c r="D624" t="str">
        <f t="shared" si="18"/>
        <v>Normal</v>
      </c>
    </row>
    <row r="625" spans="1:4" x14ac:dyDescent="0.25">
      <c r="A625">
        <v>118437</v>
      </c>
      <c r="C625">
        <f t="shared" si="19"/>
        <v>1.7616410211001561</v>
      </c>
      <c r="D625" t="str">
        <f t="shared" si="18"/>
        <v>Normal</v>
      </c>
    </row>
    <row r="626" spans="1:4" x14ac:dyDescent="0.25">
      <c r="A626">
        <v>51984</v>
      </c>
      <c r="C626">
        <f t="shared" si="19"/>
        <v>-0.36026173335184891</v>
      </c>
      <c r="D626" t="str">
        <f t="shared" si="18"/>
        <v>Normal</v>
      </c>
    </row>
    <row r="627" spans="1:4" x14ac:dyDescent="0.25">
      <c r="A627">
        <v>101838</v>
      </c>
      <c r="C627">
        <f t="shared" si="19"/>
        <v>1.2316203475241123</v>
      </c>
      <c r="D627" t="str">
        <f t="shared" si="18"/>
        <v>Normal</v>
      </c>
    </row>
    <row r="628" spans="1:4" x14ac:dyDescent="0.25">
      <c r="A628">
        <v>27181</v>
      </c>
      <c r="C628">
        <f t="shared" si="19"/>
        <v>-1.1522433446963041</v>
      </c>
      <c r="D628" t="str">
        <f t="shared" si="18"/>
        <v>Normal</v>
      </c>
    </row>
    <row r="629" spans="1:4" x14ac:dyDescent="0.25">
      <c r="A629">
        <v>74544</v>
      </c>
      <c r="C629">
        <f t="shared" si="19"/>
        <v>0.36009891463149618</v>
      </c>
      <c r="D629" t="str">
        <f t="shared" si="18"/>
        <v>Normal</v>
      </c>
    </row>
    <row r="630" spans="1:4" x14ac:dyDescent="0.25">
      <c r="A630">
        <v>39246</v>
      </c>
      <c r="C630">
        <f t="shared" si="19"/>
        <v>-0.76699728007223233</v>
      </c>
      <c r="D630" t="str">
        <f t="shared" si="18"/>
        <v>Normal</v>
      </c>
    </row>
    <row r="631" spans="1:4" x14ac:dyDescent="0.25">
      <c r="A631">
        <v>72941</v>
      </c>
      <c r="C631">
        <f t="shared" si="19"/>
        <v>0.30891371433374343</v>
      </c>
      <c r="D631" t="str">
        <f t="shared" si="18"/>
        <v>Normal</v>
      </c>
    </row>
    <row r="632" spans="1:4" x14ac:dyDescent="0.25">
      <c r="A632">
        <v>72539</v>
      </c>
      <c r="C632">
        <f t="shared" si="19"/>
        <v>0.29607750065957211</v>
      </c>
      <c r="D632" t="str">
        <f t="shared" si="18"/>
        <v>Normal</v>
      </c>
    </row>
    <row r="633" spans="1:4" x14ac:dyDescent="0.25">
      <c r="A633">
        <v>87209</v>
      </c>
      <c r="C633">
        <f t="shared" si="19"/>
        <v>0.7645035071274654</v>
      </c>
      <c r="D633" t="str">
        <f t="shared" si="18"/>
        <v>Normal</v>
      </c>
    </row>
    <row r="634" spans="1:4" x14ac:dyDescent="0.25">
      <c r="A634">
        <v>68542</v>
      </c>
      <c r="C634">
        <f t="shared" si="19"/>
        <v>0.16844977415294843</v>
      </c>
      <c r="D634" t="str">
        <f t="shared" si="18"/>
        <v>Normal</v>
      </c>
    </row>
    <row r="635" spans="1:4" x14ac:dyDescent="0.25">
      <c r="A635">
        <v>93741</v>
      </c>
      <c r="C635">
        <f t="shared" si="19"/>
        <v>0.97307601389285592</v>
      </c>
      <c r="D635" t="str">
        <f t="shared" si="18"/>
        <v>Normal</v>
      </c>
    </row>
    <row r="636" spans="1:4" x14ac:dyDescent="0.25">
      <c r="A636">
        <v>24957</v>
      </c>
      <c r="C636">
        <f t="shared" si="19"/>
        <v>-1.2232576213414708</v>
      </c>
      <c r="D636" t="str">
        <f t="shared" si="18"/>
        <v>Normal</v>
      </c>
    </row>
    <row r="637" spans="1:4" x14ac:dyDescent="0.25">
      <c r="A637">
        <v>101492</v>
      </c>
      <c r="C637">
        <f t="shared" si="19"/>
        <v>1.2205722631179849</v>
      </c>
      <c r="D637" t="str">
        <f t="shared" si="18"/>
        <v>Normal</v>
      </c>
    </row>
    <row r="638" spans="1:4" x14ac:dyDescent="0.25">
      <c r="A638">
        <v>39514</v>
      </c>
      <c r="C638">
        <f t="shared" si="19"/>
        <v>-0.75843980428945146</v>
      </c>
      <c r="D638" t="str">
        <f t="shared" si="18"/>
        <v>Normal</v>
      </c>
    </row>
    <row r="639" spans="1:4" x14ac:dyDescent="0.25">
      <c r="A639">
        <v>67513</v>
      </c>
      <c r="C639">
        <f t="shared" si="19"/>
        <v>0.13559289885264428</v>
      </c>
      <c r="D639" t="str">
        <f t="shared" si="18"/>
        <v>Normal</v>
      </c>
    </row>
    <row r="640" spans="1:4" x14ac:dyDescent="0.25">
      <c r="A640">
        <v>51134</v>
      </c>
      <c r="C640">
        <f t="shared" si="19"/>
        <v>-0.38740298117037031</v>
      </c>
      <c r="D640" t="str">
        <f t="shared" si="18"/>
        <v>Normal</v>
      </c>
    </row>
    <row r="641" spans="1:4" x14ac:dyDescent="0.25">
      <c r="A641">
        <v>77547</v>
      </c>
      <c r="C641">
        <f t="shared" si="19"/>
        <v>0.45598734663034307</v>
      </c>
      <c r="D641" t="str">
        <f t="shared" si="18"/>
        <v>Normal</v>
      </c>
    </row>
    <row r="642" spans="1:4" x14ac:dyDescent="0.25">
      <c r="A642">
        <v>41198</v>
      </c>
      <c r="C642">
        <f t="shared" si="19"/>
        <v>-0.70466820272899255</v>
      </c>
      <c r="D642" t="str">
        <f t="shared" ref="D642:D705" si="20">IF(ABS(C642) &gt; 2.5, "Outlier", "Normal")</f>
        <v>Normal</v>
      </c>
    </row>
    <row r="643" spans="1:4" x14ac:dyDescent="0.25">
      <c r="A643">
        <v>37113</v>
      </c>
      <c r="C643">
        <f t="shared" ref="C643:C706" si="21">(A643 - $B$5) / $B$7</f>
        <v>-0.83510584665682785</v>
      </c>
      <c r="D643" t="str">
        <f t="shared" si="20"/>
        <v>Normal</v>
      </c>
    </row>
    <row r="644" spans="1:4" x14ac:dyDescent="0.25">
      <c r="A644">
        <v>50899</v>
      </c>
      <c r="C644">
        <f t="shared" si="21"/>
        <v>-0.39490673792019687</v>
      </c>
      <c r="D644" t="str">
        <f t="shared" si="20"/>
        <v>Normal</v>
      </c>
    </row>
    <row r="645" spans="1:4" x14ac:dyDescent="0.25">
      <c r="A645">
        <v>36225</v>
      </c>
      <c r="C645">
        <f t="shared" si="21"/>
        <v>-0.86346046790723607</v>
      </c>
      <c r="D645" t="str">
        <f t="shared" si="20"/>
        <v>Normal</v>
      </c>
    </row>
    <row r="646" spans="1:4" x14ac:dyDescent="0.25">
      <c r="A646">
        <v>36816</v>
      </c>
      <c r="C646">
        <f t="shared" si="21"/>
        <v>-0.84458931795341707</v>
      </c>
      <c r="D646" t="str">
        <f t="shared" si="20"/>
        <v>Normal</v>
      </c>
    </row>
    <row r="647" spans="1:4" x14ac:dyDescent="0.25">
      <c r="A647">
        <v>96510</v>
      </c>
      <c r="C647">
        <f t="shared" si="21"/>
        <v>1.0614926200216628</v>
      </c>
      <c r="D647" t="str">
        <f t="shared" si="20"/>
        <v>Normal</v>
      </c>
    </row>
    <row r="648" spans="1:4" x14ac:dyDescent="0.25">
      <c r="A648">
        <v>65485</v>
      </c>
      <c r="C648">
        <f t="shared" si="21"/>
        <v>7.0837074645630799E-2</v>
      </c>
      <c r="D648" t="str">
        <f t="shared" si="20"/>
        <v>Normal</v>
      </c>
    </row>
    <row r="649" spans="1:4" x14ac:dyDescent="0.25">
      <c r="A649">
        <v>22857</v>
      </c>
      <c r="C649">
        <f t="shared" si="21"/>
        <v>-1.2903124688931118</v>
      </c>
      <c r="D649" t="str">
        <f t="shared" si="20"/>
        <v>Normal</v>
      </c>
    </row>
    <row r="650" spans="1:4" x14ac:dyDescent="0.25">
      <c r="A650">
        <v>100789</v>
      </c>
      <c r="C650">
        <f t="shared" si="21"/>
        <v>1.1981248546280783</v>
      </c>
      <c r="D650" t="str">
        <f t="shared" si="20"/>
        <v>Normal</v>
      </c>
    </row>
    <row r="651" spans="1:4" x14ac:dyDescent="0.25">
      <c r="A651">
        <v>71269</v>
      </c>
      <c r="C651">
        <f t="shared" si="21"/>
        <v>0.2555252833307225</v>
      </c>
      <c r="D651" t="str">
        <f t="shared" si="20"/>
        <v>Normal</v>
      </c>
    </row>
    <row r="652" spans="1:4" x14ac:dyDescent="0.25">
      <c r="A652">
        <v>44759</v>
      </c>
      <c r="C652">
        <f t="shared" si="21"/>
        <v>-0.59096233980928103</v>
      </c>
      <c r="D652" t="str">
        <f t="shared" si="20"/>
        <v>Normal</v>
      </c>
    </row>
    <row r="653" spans="1:4" x14ac:dyDescent="0.25">
      <c r="A653">
        <v>36905</v>
      </c>
      <c r="C653">
        <f t="shared" si="21"/>
        <v>-0.84174746965241898</v>
      </c>
      <c r="D653" t="str">
        <f t="shared" si="20"/>
        <v>Normal</v>
      </c>
    </row>
    <row r="654" spans="1:4" x14ac:dyDescent="0.25">
      <c r="A654">
        <v>36913</v>
      </c>
      <c r="C654">
        <f t="shared" si="21"/>
        <v>-0.84149202261412703</v>
      </c>
      <c r="D654" t="str">
        <f t="shared" si="20"/>
        <v>Normal</v>
      </c>
    </row>
    <row r="655" spans="1:4" x14ac:dyDescent="0.25">
      <c r="A655">
        <v>35683</v>
      </c>
      <c r="C655">
        <f t="shared" si="21"/>
        <v>-0.88076700475151681</v>
      </c>
      <c r="D655" t="str">
        <f t="shared" si="20"/>
        <v>Normal</v>
      </c>
    </row>
    <row r="656" spans="1:4" x14ac:dyDescent="0.25">
      <c r="A656">
        <v>93809</v>
      </c>
      <c r="C656">
        <f t="shared" si="21"/>
        <v>0.97524731371833762</v>
      </c>
      <c r="D656" t="str">
        <f t="shared" si="20"/>
        <v>Normal</v>
      </c>
    </row>
    <row r="657" spans="1:4" x14ac:dyDescent="0.25">
      <c r="A657">
        <v>41219</v>
      </c>
      <c r="C657">
        <f t="shared" si="21"/>
        <v>-0.70399765425347616</v>
      </c>
      <c r="D657" t="str">
        <f t="shared" si="20"/>
        <v>Normal</v>
      </c>
    </row>
    <row r="658" spans="1:4" x14ac:dyDescent="0.25">
      <c r="A658">
        <v>138241</v>
      </c>
      <c r="C658">
        <f t="shared" si="21"/>
        <v>2.3940001643919184</v>
      </c>
      <c r="D658" t="str">
        <f t="shared" si="20"/>
        <v>Normal</v>
      </c>
    </row>
    <row r="659" spans="1:4" x14ac:dyDescent="0.25">
      <c r="A659">
        <v>91985</v>
      </c>
      <c r="C659">
        <f t="shared" si="21"/>
        <v>0.91700538898776929</v>
      </c>
      <c r="D659" t="str">
        <f t="shared" si="20"/>
        <v>Normal</v>
      </c>
    </row>
    <row r="660" spans="1:4" x14ac:dyDescent="0.25">
      <c r="A660">
        <v>39439</v>
      </c>
      <c r="C660">
        <f t="shared" si="21"/>
        <v>-0.76083462027343862</v>
      </c>
      <c r="D660" t="str">
        <f t="shared" si="20"/>
        <v>Normal</v>
      </c>
    </row>
    <row r="661" spans="1:4" x14ac:dyDescent="0.25">
      <c r="A661">
        <v>101354</v>
      </c>
      <c r="C661">
        <f t="shared" si="21"/>
        <v>1.2161658017074484</v>
      </c>
      <c r="D661" t="str">
        <f t="shared" si="20"/>
        <v>Normal</v>
      </c>
    </row>
    <row r="662" spans="1:4" x14ac:dyDescent="0.25">
      <c r="A662">
        <v>23614</v>
      </c>
      <c r="C662">
        <f t="shared" si="21"/>
        <v>-1.2661407928947346</v>
      </c>
      <c r="D662" t="str">
        <f t="shared" si="20"/>
        <v>Normal</v>
      </c>
    </row>
    <row r="663" spans="1:4" x14ac:dyDescent="0.25">
      <c r="A663">
        <v>77817</v>
      </c>
      <c r="C663">
        <f t="shared" si="21"/>
        <v>0.46460868417269691</v>
      </c>
      <c r="D663" t="str">
        <f t="shared" si="20"/>
        <v>Normal</v>
      </c>
    </row>
    <row r="664" spans="1:4" x14ac:dyDescent="0.25">
      <c r="A664">
        <v>94097</v>
      </c>
      <c r="C664">
        <f t="shared" si="21"/>
        <v>0.98444340709684841</v>
      </c>
      <c r="D664" t="str">
        <f t="shared" si="20"/>
        <v>Normal</v>
      </c>
    </row>
    <row r="665" spans="1:4" x14ac:dyDescent="0.25">
      <c r="A665">
        <v>129995</v>
      </c>
      <c r="C665">
        <f t="shared" si="21"/>
        <v>2.1306981296724743</v>
      </c>
      <c r="D665" t="str">
        <f t="shared" si="20"/>
        <v>Normal</v>
      </c>
    </row>
    <row r="666" spans="1:4" x14ac:dyDescent="0.25">
      <c r="A666">
        <v>96533</v>
      </c>
      <c r="C666">
        <f t="shared" si="21"/>
        <v>1.0622270302567522</v>
      </c>
      <c r="D666" t="str">
        <f t="shared" si="20"/>
        <v>Normal</v>
      </c>
    </row>
    <row r="667" spans="1:4" x14ac:dyDescent="0.25">
      <c r="A667">
        <v>121086</v>
      </c>
      <c r="C667">
        <f t="shared" si="21"/>
        <v>1.8462259216545833</v>
      </c>
      <c r="D667" t="str">
        <f t="shared" si="20"/>
        <v>Normal</v>
      </c>
    </row>
    <row r="668" spans="1:4" x14ac:dyDescent="0.25">
      <c r="A668">
        <v>105251</v>
      </c>
      <c r="C668">
        <f t="shared" si="21"/>
        <v>1.3406004402354226</v>
      </c>
      <c r="D668" t="str">
        <f t="shared" si="20"/>
        <v>Normal</v>
      </c>
    </row>
    <row r="669" spans="1:4" x14ac:dyDescent="0.25">
      <c r="A669">
        <v>70801</v>
      </c>
      <c r="C669">
        <f t="shared" si="21"/>
        <v>0.24058163159064244</v>
      </c>
      <c r="D669" t="str">
        <f t="shared" si="20"/>
        <v>Normal</v>
      </c>
    </row>
    <row r="670" spans="1:4" x14ac:dyDescent="0.25">
      <c r="A670">
        <v>75172</v>
      </c>
      <c r="C670">
        <f t="shared" si="21"/>
        <v>0.38015150713741558</v>
      </c>
      <c r="D670" t="str">
        <f t="shared" si="20"/>
        <v>Normal</v>
      </c>
    </row>
    <row r="671" spans="1:4" x14ac:dyDescent="0.25">
      <c r="A671">
        <v>32410</v>
      </c>
      <c r="C671">
        <f t="shared" si="21"/>
        <v>-0.98527677429271754</v>
      </c>
      <c r="D671" t="str">
        <f t="shared" si="20"/>
        <v>Normal</v>
      </c>
    </row>
    <row r="672" spans="1:4" x14ac:dyDescent="0.25">
      <c r="A672">
        <v>70003</v>
      </c>
      <c r="C672">
        <f t="shared" si="21"/>
        <v>0.2151007895210188</v>
      </c>
      <c r="D672" t="str">
        <f t="shared" si="20"/>
        <v>Normal</v>
      </c>
    </row>
    <row r="673" spans="1:4" x14ac:dyDescent="0.25">
      <c r="A673">
        <v>21260</v>
      </c>
      <c r="C673">
        <f t="shared" si="21"/>
        <v>-1.3413060839121456</v>
      </c>
      <c r="D673" t="str">
        <f t="shared" si="20"/>
        <v>Normal</v>
      </c>
    </row>
    <row r="674" spans="1:4" x14ac:dyDescent="0.25">
      <c r="A674">
        <v>138677</v>
      </c>
      <c r="C674">
        <f t="shared" si="21"/>
        <v>2.4079220279788305</v>
      </c>
      <c r="D674" t="str">
        <f t="shared" si="20"/>
        <v>Normal</v>
      </c>
    </row>
    <row r="675" spans="1:4" x14ac:dyDescent="0.25">
      <c r="A675">
        <v>72640</v>
      </c>
      <c r="C675">
        <f t="shared" si="21"/>
        <v>0.29930251951800818</v>
      </c>
      <c r="D675" t="str">
        <f t="shared" si="20"/>
        <v>Normal</v>
      </c>
    </row>
    <row r="676" spans="1:4" x14ac:dyDescent="0.25">
      <c r="A676">
        <v>72627</v>
      </c>
      <c r="C676">
        <f t="shared" si="21"/>
        <v>0.29888741808078378</v>
      </c>
      <c r="D676" t="str">
        <f t="shared" si="20"/>
        <v>Normal</v>
      </c>
    </row>
    <row r="677" spans="1:4" x14ac:dyDescent="0.25">
      <c r="A677">
        <v>103088</v>
      </c>
      <c r="C677">
        <f t="shared" si="21"/>
        <v>1.2715339472572322</v>
      </c>
      <c r="D677" t="str">
        <f t="shared" si="20"/>
        <v>Normal</v>
      </c>
    </row>
    <row r="678" spans="1:4" x14ac:dyDescent="0.25">
      <c r="A678">
        <v>126617</v>
      </c>
      <c r="C678">
        <f t="shared" si="21"/>
        <v>2.0228356177536915</v>
      </c>
      <c r="D678" t="str">
        <f t="shared" si="20"/>
        <v>Normal</v>
      </c>
    </row>
    <row r="679" spans="1:4" x14ac:dyDescent="0.25">
      <c r="A679">
        <v>50708</v>
      </c>
      <c r="C679">
        <f t="shared" si="21"/>
        <v>-0.40100553595941757</v>
      </c>
      <c r="D679" t="str">
        <f t="shared" si="20"/>
        <v>Normal</v>
      </c>
    </row>
    <row r="680" spans="1:4" x14ac:dyDescent="0.25">
      <c r="A680">
        <v>59541</v>
      </c>
      <c r="C680">
        <f t="shared" si="21"/>
        <v>-0.1189600748053002</v>
      </c>
      <c r="D680" t="str">
        <f t="shared" si="20"/>
        <v>Normal</v>
      </c>
    </row>
    <row r="681" spans="1:4" x14ac:dyDescent="0.25">
      <c r="A681">
        <v>97171</v>
      </c>
      <c r="C681">
        <f t="shared" si="21"/>
        <v>1.0825989315605364</v>
      </c>
      <c r="D681" t="str">
        <f t="shared" si="20"/>
        <v>Normal</v>
      </c>
    </row>
    <row r="682" spans="1:4" x14ac:dyDescent="0.25">
      <c r="A682">
        <v>42821</v>
      </c>
      <c r="C682">
        <f t="shared" si="21"/>
        <v>-0.65284438483550988</v>
      </c>
      <c r="D682" t="str">
        <f t="shared" si="20"/>
        <v>Normal</v>
      </c>
    </row>
    <row r="683" spans="1:4" x14ac:dyDescent="0.25">
      <c r="A683">
        <v>24836</v>
      </c>
      <c r="C683">
        <f t="shared" si="21"/>
        <v>-1.2271212577956367</v>
      </c>
      <c r="D683" t="str">
        <f t="shared" si="20"/>
        <v>Normal</v>
      </c>
    </row>
    <row r="684" spans="1:4" x14ac:dyDescent="0.25">
      <c r="A684">
        <v>107201</v>
      </c>
      <c r="C684">
        <f t="shared" si="21"/>
        <v>1.4028656558190893</v>
      </c>
      <c r="D684" t="str">
        <f t="shared" si="20"/>
        <v>Normal</v>
      </c>
    </row>
    <row r="685" spans="1:4" x14ac:dyDescent="0.25">
      <c r="A685">
        <v>77670</v>
      </c>
      <c r="C685">
        <f t="shared" si="21"/>
        <v>0.45991484484408207</v>
      </c>
      <c r="D685" t="str">
        <f t="shared" si="20"/>
        <v>Normal</v>
      </c>
    </row>
    <row r="686" spans="1:4" x14ac:dyDescent="0.25">
      <c r="A686">
        <v>106478</v>
      </c>
      <c r="C686">
        <f t="shared" si="21"/>
        <v>1.3797796297334528</v>
      </c>
      <c r="D686" t="str">
        <f t="shared" si="20"/>
        <v>Normal</v>
      </c>
    </row>
    <row r="687" spans="1:4" x14ac:dyDescent="0.25">
      <c r="A687">
        <v>51779</v>
      </c>
      <c r="C687">
        <f t="shared" si="21"/>
        <v>-0.36680756370808054</v>
      </c>
      <c r="D687" t="str">
        <f t="shared" si="20"/>
        <v>Normal</v>
      </c>
    </row>
    <row r="688" spans="1:4" x14ac:dyDescent="0.25">
      <c r="A688">
        <v>26065</v>
      </c>
      <c r="C688">
        <f t="shared" si="21"/>
        <v>-1.1878782065380333</v>
      </c>
      <c r="D688" t="str">
        <f t="shared" si="20"/>
        <v>Normal</v>
      </c>
    </row>
    <row r="689" spans="1:4" x14ac:dyDescent="0.25">
      <c r="A689">
        <v>70050</v>
      </c>
      <c r="C689">
        <f t="shared" si="21"/>
        <v>0.2166015408709841</v>
      </c>
      <c r="D689" t="str">
        <f t="shared" si="20"/>
        <v>Normal</v>
      </c>
    </row>
    <row r="690" spans="1:4" x14ac:dyDescent="0.25">
      <c r="A690">
        <v>94188</v>
      </c>
      <c r="C690">
        <f t="shared" si="21"/>
        <v>0.98734911715741958</v>
      </c>
      <c r="D690" t="str">
        <f t="shared" si="20"/>
        <v>Normal</v>
      </c>
    </row>
    <row r="691" spans="1:4" x14ac:dyDescent="0.25">
      <c r="A691">
        <v>89316</v>
      </c>
      <c r="C691">
        <f t="shared" si="21"/>
        <v>0.83178187083761201</v>
      </c>
      <c r="D691" t="str">
        <f t="shared" si="20"/>
        <v>Normal</v>
      </c>
    </row>
    <row r="692" spans="1:4" x14ac:dyDescent="0.25">
      <c r="A692">
        <v>94465</v>
      </c>
      <c r="C692">
        <f t="shared" si="21"/>
        <v>0.99619397085827888</v>
      </c>
      <c r="D692" t="str">
        <f t="shared" si="20"/>
        <v>Normal</v>
      </c>
    </row>
    <row r="693" spans="1:4" x14ac:dyDescent="0.25">
      <c r="A693">
        <v>23794</v>
      </c>
      <c r="C693">
        <f t="shared" si="21"/>
        <v>-1.2603932345331654</v>
      </c>
      <c r="D693" t="str">
        <f t="shared" si="20"/>
        <v>Normal</v>
      </c>
    </row>
    <row r="694" spans="1:4" x14ac:dyDescent="0.25">
      <c r="A694">
        <v>35173</v>
      </c>
      <c r="C694">
        <f t="shared" si="21"/>
        <v>-0.89705175344262966</v>
      </c>
      <c r="D694" t="str">
        <f t="shared" si="20"/>
        <v>Normal</v>
      </c>
    </row>
    <row r="695" spans="1:4" x14ac:dyDescent="0.25">
      <c r="A695">
        <v>118877</v>
      </c>
      <c r="C695">
        <f t="shared" si="21"/>
        <v>1.7756906082062143</v>
      </c>
      <c r="D695" t="str">
        <f t="shared" si="20"/>
        <v>Normal</v>
      </c>
    </row>
    <row r="696" spans="1:4" x14ac:dyDescent="0.25">
      <c r="A696">
        <v>109097</v>
      </c>
      <c r="C696">
        <f t="shared" si="21"/>
        <v>1.4634066038942855</v>
      </c>
      <c r="D696" t="str">
        <f t="shared" si="20"/>
        <v>Normal</v>
      </c>
    </row>
    <row r="697" spans="1:4" x14ac:dyDescent="0.25">
      <c r="A697">
        <v>30460</v>
      </c>
      <c r="C697">
        <f t="shared" si="21"/>
        <v>-1.0475419898763845</v>
      </c>
      <c r="D697" t="str">
        <f t="shared" si="20"/>
        <v>Normal</v>
      </c>
    </row>
    <row r="698" spans="1:4" x14ac:dyDescent="0.25">
      <c r="A698">
        <v>81045</v>
      </c>
      <c r="C698">
        <f t="shared" si="21"/>
        <v>0.56768156412350534</v>
      </c>
      <c r="D698" t="str">
        <f t="shared" si="20"/>
        <v>Normal</v>
      </c>
    </row>
    <row r="699" spans="1:4" x14ac:dyDescent="0.25">
      <c r="A699">
        <v>83179</v>
      </c>
      <c r="C699">
        <f t="shared" si="21"/>
        <v>0.63582206158788734</v>
      </c>
      <c r="D699" t="str">
        <f t="shared" si="20"/>
        <v>Normal</v>
      </c>
    </row>
    <row r="700" spans="1:4" x14ac:dyDescent="0.25">
      <c r="A700">
        <v>45125</v>
      </c>
      <c r="C700">
        <f t="shared" si="21"/>
        <v>-0.57927563780742353</v>
      </c>
      <c r="D700" t="str">
        <f t="shared" si="20"/>
        <v>Normal</v>
      </c>
    </row>
    <row r="701" spans="1:4" x14ac:dyDescent="0.25">
      <c r="A701">
        <v>55609</v>
      </c>
      <c r="C701">
        <f t="shared" si="21"/>
        <v>-0.24451229412580167</v>
      </c>
      <c r="D701" t="str">
        <f t="shared" si="20"/>
        <v>Normal</v>
      </c>
    </row>
    <row r="702" spans="1:4" x14ac:dyDescent="0.25">
      <c r="A702">
        <v>147481</v>
      </c>
      <c r="C702">
        <f t="shared" si="21"/>
        <v>2.6890414936191398</v>
      </c>
      <c r="D702" t="str">
        <f t="shared" si="20"/>
        <v>Outlier</v>
      </c>
    </row>
    <row r="703" spans="1:4" x14ac:dyDescent="0.25">
      <c r="A703">
        <v>43813</v>
      </c>
      <c r="C703">
        <f t="shared" si="21"/>
        <v>-0.62116895208730605</v>
      </c>
      <c r="D703" t="str">
        <f t="shared" si="20"/>
        <v>Normal</v>
      </c>
    </row>
    <row r="704" spans="1:4" x14ac:dyDescent="0.25">
      <c r="A704">
        <v>39253</v>
      </c>
      <c r="C704">
        <f t="shared" si="21"/>
        <v>-0.76677376391372687</v>
      </c>
      <c r="D704" t="str">
        <f t="shared" si="20"/>
        <v>Normal</v>
      </c>
    </row>
    <row r="705" spans="1:4" x14ac:dyDescent="0.25">
      <c r="A705">
        <v>53649</v>
      </c>
      <c r="C705">
        <f t="shared" si="21"/>
        <v>-0.30709681850733339</v>
      </c>
      <c r="D705" t="str">
        <f t="shared" si="20"/>
        <v>Normal</v>
      </c>
    </row>
    <row r="706" spans="1:4" x14ac:dyDescent="0.25">
      <c r="A706">
        <v>35792</v>
      </c>
      <c r="C706">
        <f t="shared" si="21"/>
        <v>-0.8772865388547888</v>
      </c>
      <c r="D706" t="str">
        <f t="shared" ref="D706:D769" si="22">IF(ABS(C706) &gt; 2.5, "Outlier", "Normal")</f>
        <v>Normal</v>
      </c>
    </row>
    <row r="707" spans="1:4" x14ac:dyDescent="0.25">
      <c r="A707">
        <v>43838</v>
      </c>
      <c r="C707">
        <f t="shared" ref="C707:C770" si="23">(A707 - $B$5) / $B$7</f>
        <v>-0.62037068009264362</v>
      </c>
      <c r="D707" t="str">
        <f t="shared" si="22"/>
        <v>Normal</v>
      </c>
    </row>
    <row r="708" spans="1:4" x14ac:dyDescent="0.25">
      <c r="A708">
        <v>91320</v>
      </c>
      <c r="C708">
        <f t="shared" si="23"/>
        <v>0.8957713539297496</v>
      </c>
      <c r="D708" t="str">
        <f t="shared" si="22"/>
        <v>Normal</v>
      </c>
    </row>
    <row r="709" spans="1:4" x14ac:dyDescent="0.25">
      <c r="A709">
        <v>80960</v>
      </c>
      <c r="C709">
        <f t="shared" si="23"/>
        <v>0.56496743934165317</v>
      </c>
      <c r="D709" t="str">
        <f t="shared" si="22"/>
        <v>Normal</v>
      </c>
    </row>
    <row r="710" spans="1:4" x14ac:dyDescent="0.25">
      <c r="A710">
        <v>82129</v>
      </c>
      <c r="C710">
        <f t="shared" si="23"/>
        <v>0.60229463781206682</v>
      </c>
      <c r="D710" t="str">
        <f t="shared" si="22"/>
        <v>Normal</v>
      </c>
    </row>
    <row r="711" spans="1:4" x14ac:dyDescent="0.25">
      <c r="A711">
        <v>23049</v>
      </c>
      <c r="C711">
        <f t="shared" si="23"/>
        <v>-1.2841817399741047</v>
      </c>
      <c r="D711" t="str">
        <f t="shared" si="22"/>
        <v>Normal</v>
      </c>
    </row>
    <row r="712" spans="1:4" x14ac:dyDescent="0.25">
      <c r="A712">
        <v>128354</v>
      </c>
      <c r="C712">
        <f t="shared" si="23"/>
        <v>2.0782995559428348</v>
      </c>
      <c r="D712" t="str">
        <f t="shared" si="22"/>
        <v>Normal</v>
      </c>
    </row>
    <row r="713" spans="1:4" x14ac:dyDescent="0.25">
      <c r="A713">
        <v>25125</v>
      </c>
      <c r="C713">
        <f t="shared" si="23"/>
        <v>-1.2178932335373394</v>
      </c>
      <c r="D713" t="str">
        <f t="shared" si="22"/>
        <v>Normal</v>
      </c>
    </row>
    <row r="714" spans="1:4" x14ac:dyDescent="0.25">
      <c r="A714">
        <v>24155</v>
      </c>
      <c r="C714">
        <f t="shared" si="23"/>
        <v>-1.2488661869302404</v>
      </c>
      <c r="D714" t="str">
        <f t="shared" si="22"/>
        <v>Normal</v>
      </c>
    </row>
    <row r="715" spans="1:4" x14ac:dyDescent="0.25">
      <c r="A715">
        <v>37510</v>
      </c>
      <c r="C715">
        <f t="shared" si="23"/>
        <v>-0.82242928738158905</v>
      </c>
      <c r="D715" t="str">
        <f t="shared" si="22"/>
        <v>Normal</v>
      </c>
    </row>
    <row r="716" spans="1:4" x14ac:dyDescent="0.25">
      <c r="A716">
        <v>96912</v>
      </c>
      <c r="C716">
        <f t="shared" si="23"/>
        <v>1.0743288336958341</v>
      </c>
      <c r="D716" t="str">
        <f t="shared" si="22"/>
        <v>Normal</v>
      </c>
    </row>
    <row r="717" spans="1:4" x14ac:dyDescent="0.25">
      <c r="A717">
        <v>81112</v>
      </c>
      <c r="C717">
        <f t="shared" si="23"/>
        <v>0.56982093306920056</v>
      </c>
      <c r="D717" t="str">
        <f t="shared" si="22"/>
        <v>Normal</v>
      </c>
    </row>
    <row r="718" spans="1:4" x14ac:dyDescent="0.25">
      <c r="A718">
        <v>86722</v>
      </c>
      <c r="C718">
        <f t="shared" si="23"/>
        <v>0.74895316867144202</v>
      </c>
      <c r="D718" t="str">
        <f t="shared" si="22"/>
        <v>Normal</v>
      </c>
    </row>
    <row r="719" spans="1:4" x14ac:dyDescent="0.25">
      <c r="A719">
        <v>68924</v>
      </c>
      <c r="C719">
        <f t="shared" si="23"/>
        <v>0.18064737023138983</v>
      </c>
      <c r="D719" t="str">
        <f t="shared" si="22"/>
        <v>Normal</v>
      </c>
    </row>
    <row r="720" spans="1:4" x14ac:dyDescent="0.25">
      <c r="A720">
        <v>26674</v>
      </c>
      <c r="C720">
        <f t="shared" si="23"/>
        <v>-1.1684323007480575</v>
      </c>
      <c r="D720" t="str">
        <f t="shared" si="22"/>
        <v>Normal</v>
      </c>
    </row>
    <row r="721" spans="1:4" x14ac:dyDescent="0.25">
      <c r="A721">
        <v>137925</v>
      </c>
      <c r="C721">
        <f t="shared" si="23"/>
        <v>2.3839100063793857</v>
      </c>
      <c r="D721" t="str">
        <f t="shared" si="22"/>
        <v>Normal</v>
      </c>
    </row>
    <row r="722" spans="1:4" x14ac:dyDescent="0.25">
      <c r="A722">
        <v>74348</v>
      </c>
      <c r="C722">
        <f t="shared" si="23"/>
        <v>0.35384046219334303</v>
      </c>
      <c r="D722" t="str">
        <f t="shared" si="22"/>
        <v>Normal</v>
      </c>
    </row>
    <row r="723" spans="1:4" x14ac:dyDescent="0.25">
      <c r="A723">
        <v>127468</v>
      </c>
      <c r="C723">
        <f t="shared" si="23"/>
        <v>2.0500087964519995</v>
      </c>
      <c r="D723" t="str">
        <f t="shared" si="22"/>
        <v>Normal</v>
      </c>
    </row>
    <row r="724" spans="1:4" x14ac:dyDescent="0.25">
      <c r="A724">
        <v>69571</v>
      </c>
      <c r="C724">
        <f t="shared" si="23"/>
        <v>0.20130664945325261</v>
      </c>
      <c r="D724" t="str">
        <f t="shared" si="22"/>
        <v>Normal</v>
      </c>
    </row>
    <row r="725" spans="1:4" x14ac:dyDescent="0.25">
      <c r="A725">
        <v>89457</v>
      </c>
      <c r="C725">
        <f t="shared" si="23"/>
        <v>0.83628412488750792</v>
      </c>
      <c r="D725" t="str">
        <f t="shared" si="22"/>
        <v>Normal</v>
      </c>
    </row>
    <row r="726" spans="1:4" x14ac:dyDescent="0.25">
      <c r="A726">
        <v>80880</v>
      </c>
      <c r="C726">
        <f t="shared" si="23"/>
        <v>0.56241296895873349</v>
      </c>
      <c r="D726" t="str">
        <f t="shared" si="22"/>
        <v>Normal</v>
      </c>
    </row>
    <row r="727" spans="1:4" x14ac:dyDescent="0.25">
      <c r="A727">
        <v>90617</v>
      </c>
      <c r="C727">
        <f t="shared" si="23"/>
        <v>0.87332394543984304</v>
      </c>
      <c r="D727" t="str">
        <f t="shared" si="22"/>
        <v>Normal</v>
      </c>
    </row>
    <row r="728" spans="1:4" x14ac:dyDescent="0.25">
      <c r="A728">
        <v>71493</v>
      </c>
      <c r="C728">
        <f t="shared" si="23"/>
        <v>0.26267780040289751</v>
      </c>
      <c r="D728" t="str">
        <f t="shared" si="22"/>
        <v>Normal</v>
      </c>
    </row>
    <row r="729" spans="1:4" x14ac:dyDescent="0.25">
      <c r="A729">
        <v>43421</v>
      </c>
      <c r="C729">
        <f t="shared" si="23"/>
        <v>-0.63368585696361235</v>
      </c>
      <c r="D729" t="str">
        <f t="shared" si="22"/>
        <v>Normal</v>
      </c>
    </row>
    <row r="730" spans="1:4" x14ac:dyDescent="0.25">
      <c r="A730">
        <v>112929</v>
      </c>
      <c r="C730">
        <f t="shared" si="23"/>
        <v>1.5857657352361372</v>
      </c>
      <c r="D730" t="str">
        <f t="shared" si="22"/>
        <v>Normal</v>
      </c>
    </row>
    <row r="731" spans="1:4" x14ac:dyDescent="0.25">
      <c r="A731">
        <v>97215</v>
      </c>
      <c r="C731">
        <f t="shared" si="23"/>
        <v>1.0840038902711424</v>
      </c>
      <c r="D731" t="str">
        <f t="shared" si="22"/>
        <v>Normal</v>
      </c>
    </row>
    <row r="732" spans="1:4" x14ac:dyDescent="0.25">
      <c r="A732">
        <v>29545</v>
      </c>
      <c r="C732">
        <f t="shared" si="23"/>
        <v>-1.0767587448810281</v>
      </c>
      <c r="D732" t="str">
        <f t="shared" si="22"/>
        <v>Normal</v>
      </c>
    </row>
    <row r="733" spans="1:4" x14ac:dyDescent="0.25">
      <c r="A733">
        <v>67379</v>
      </c>
      <c r="C733">
        <f t="shared" si="23"/>
        <v>0.13131416096125384</v>
      </c>
      <c r="D733" t="str">
        <f t="shared" si="22"/>
        <v>Normal</v>
      </c>
    </row>
    <row r="734" spans="1:4" x14ac:dyDescent="0.25">
      <c r="A734">
        <v>31038</v>
      </c>
      <c r="C734">
        <f t="shared" si="23"/>
        <v>-1.0290859413597897</v>
      </c>
      <c r="D734" t="str">
        <f t="shared" si="22"/>
        <v>Normal</v>
      </c>
    </row>
    <row r="735" spans="1:4" x14ac:dyDescent="0.25">
      <c r="A735">
        <v>92058</v>
      </c>
      <c r="C735">
        <f t="shared" si="23"/>
        <v>0.91933634321218349</v>
      </c>
      <c r="D735" t="str">
        <f t="shared" si="22"/>
        <v>Normal</v>
      </c>
    </row>
    <row r="736" spans="1:4" x14ac:dyDescent="0.25">
      <c r="A736">
        <v>28175</v>
      </c>
      <c r="C736">
        <f t="shared" si="23"/>
        <v>-1.1205040501885273</v>
      </c>
      <c r="D736" t="str">
        <f t="shared" si="22"/>
        <v>Normal</v>
      </c>
    </row>
    <row r="737" spans="1:4" x14ac:dyDescent="0.25">
      <c r="A737">
        <v>72871</v>
      </c>
      <c r="C737">
        <f t="shared" si="23"/>
        <v>0.30667855274868872</v>
      </c>
      <c r="D737" t="str">
        <f t="shared" si="22"/>
        <v>Normal</v>
      </c>
    </row>
    <row r="738" spans="1:4" x14ac:dyDescent="0.25">
      <c r="A738">
        <v>39698</v>
      </c>
      <c r="C738">
        <f t="shared" si="23"/>
        <v>-0.75256452240873628</v>
      </c>
      <c r="D738" t="str">
        <f t="shared" si="22"/>
        <v>Normal</v>
      </c>
    </row>
    <row r="739" spans="1:4" x14ac:dyDescent="0.25">
      <c r="A739">
        <v>73543</v>
      </c>
      <c r="C739">
        <f t="shared" si="23"/>
        <v>0.32813610396521392</v>
      </c>
      <c r="D739" t="str">
        <f t="shared" si="22"/>
        <v>Normal</v>
      </c>
    </row>
    <row r="740" spans="1:4" x14ac:dyDescent="0.25">
      <c r="A740">
        <v>26796</v>
      </c>
      <c r="C740">
        <f t="shared" si="23"/>
        <v>-1.164536733414105</v>
      </c>
      <c r="D740" t="str">
        <f t="shared" si="22"/>
        <v>Normal</v>
      </c>
    </row>
    <row r="741" spans="1:4" x14ac:dyDescent="0.25">
      <c r="A741">
        <v>112930</v>
      </c>
      <c r="C741">
        <f t="shared" si="23"/>
        <v>1.5857976661159237</v>
      </c>
      <c r="D741" t="str">
        <f t="shared" si="22"/>
        <v>Normal</v>
      </c>
    </row>
    <row r="742" spans="1:4" x14ac:dyDescent="0.25">
      <c r="A742">
        <v>94889</v>
      </c>
      <c r="C742">
        <f t="shared" si="23"/>
        <v>1.0097326638877531</v>
      </c>
      <c r="D742" t="str">
        <f t="shared" si="22"/>
        <v>Normal</v>
      </c>
    </row>
    <row r="743" spans="1:4" x14ac:dyDescent="0.25">
      <c r="A743">
        <v>45070</v>
      </c>
      <c r="C743">
        <f t="shared" si="23"/>
        <v>-0.58103183619568077</v>
      </c>
      <c r="D743" t="str">
        <f t="shared" si="22"/>
        <v>Normal</v>
      </c>
    </row>
    <row r="744" spans="1:4" x14ac:dyDescent="0.25">
      <c r="A744">
        <v>80670</v>
      </c>
      <c r="C744">
        <f t="shared" si="23"/>
        <v>0.55570748420356941</v>
      </c>
      <c r="D744" t="str">
        <f t="shared" si="22"/>
        <v>Normal</v>
      </c>
    </row>
    <row r="745" spans="1:4" x14ac:dyDescent="0.25">
      <c r="A745">
        <v>62172</v>
      </c>
      <c r="C745">
        <f t="shared" si="23"/>
        <v>-3.4949930087029762E-2</v>
      </c>
      <c r="D745" t="str">
        <f t="shared" si="22"/>
        <v>Normal</v>
      </c>
    </row>
    <row r="746" spans="1:4" x14ac:dyDescent="0.25">
      <c r="A746">
        <v>55599</v>
      </c>
      <c r="C746">
        <f t="shared" si="23"/>
        <v>-0.24483160292366662</v>
      </c>
      <c r="D746" t="str">
        <f t="shared" si="22"/>
        <v>Normal</v>
      </c>
    </row>
    <row r="747" spans="1:4" x14ac:dyDescent="0.25">
      <c r="A747">
        <v>22920</v>
      </c>
      <c r="C747">
        <f t="shared" si="23"/>
        <v>-1.2883008234665627</v>
      </c>
      <c r="D747" t="str">
        <f t="shared" si="22"/>
        <v>Normal</v>
      </c>
    </row>
    <row r="748" spans="1:4" x14ac:dyDescent="0.25">
      <c r="A748">
        <v>98063</v>
      </c>
      <c r="C748">
        <f t="shared" si="23"/>
        <v>1.1110812763300908</v>
      </c>
      <c r="D748" t="str">
        <f t="shared" si="22"/>
        <v>Normal</v>
      </c>
    </row>
    <row r="749" spans="1:4" x14ac:dyDescent="0.25">
      <c r="A749">
        <v>29987</v>
      </c>
      <c r="C749">
        <f t="shared" si="23"/>
        <v>-1.0626452960153969</v>
      </c>
      <c r="D749" t="str">
        <f t="shared" si="22"/>
        <v>Normal</v>
      </c>
    </row>
    <row r="750" spans="1:4" x14ac:dyDescent="0.25">
      <c r="A750">
        <v>108418</v>
      </c>
      <c r="C750">
        <f t="shared" si="23"/>
        <v>1.4417255365192547</v>
      </c>
      <c r="D750" t="str">
        <f t="shared" si="22"/>
        <v>Normal</v>
      </c>
    </row>
    <row r="751" spans="1:4" x14ac:dyDescent="0.25">
      <c r="A751">
        <v>60811</v>
      </c>
      <c r="C751">
        <f t="shared" si="23"/>
        <v>-7.8407857476450543E-2</v>
      </c>
      <c r="D751" t="str">
        <f t="shared" si="22"/>
        <v>Normal</v>
      </c>
    </row>
    <row r="752" spans="1:4" x14ac:dyDescent="0.25">
      <c r="A752">
        <v>22853</v>
      </c>
      <c r="C752">
        <f t="shared" si="23"/>
        <v>-1.2904401924122579</v>
      </c>
      <c r="D752" t="str">
        <f t="shared" si="22"/>
        <v>Normal</v>
      </c>
    </row>
    <row r="753" spans="1:4" x14ac:dyDescent="0.25">
      <c r="A753">
        <v>60806</v>
      </c>
      <c r="C753">
        <f t="shared" si="23"/>
        <v>-7.8567511875383023E-2</v>
      </c>
      <c r="D753" t="str">
        <f t="shared" si="22"/>
        <v>Normal</v>
      </c>
    </row>
    <row r="754" spans="1:4" x14ac:dyDescent="0.25">
      <c r="A754">
        <v>55990</v>
      </c>
      <c r="C754">
        <f t="shared" si="23"/>
        <v>-0.23234662892714675</v>
      </c>
      <c r="D754" t="str">
        <f t="shared" si="22"/>
        <v>Normal</v>
      </c>
    </row>
    <row r="755" spans="1:4" x14ac:dyDescent="0.25">
      <c r="A755">
        <v>102947</v>
      </c>
      <c r="C755">
        <f t="shared" si="23"/>
        <v>1.2670316932073362</v>
      </c>
      <c r="D755" t="str">
        <f t="shared" si="22"/>
        <v>Normal</v>
      </c>
    </row>
    <row r="756" spans="1:4" x14ac:dyDescent="0.25">
      <c r="A756">
        <v>106804</v>
      </c>
      <c r="C756">
        <f t="shared" si="23"/>
        <v>1.3901890965438506</v>
      </c>
      <c r="D756" t="str">
        <f t="shared" si="22"/>
        <v>Normal</v>
      </c>
    </row>
    <row r="757" spans="1:4" x14ac:dyDescent="0.25">
      <c r="A757">
        <v>65014</v>
      </c>
      <c r="C757">
        <f t="shared" si="23"/>
        <v>5.5797630266191278E-2</v>
      </c>
      <c r="D757" t="str">
        <f t="shared" si="22"/>
        <v>Normal</v>
      </c>
    </row>
    <row r="758" spans="1:4" x14ac:dyDescent="0.25">
      <c r="A758">
        <v>101993</v>
      </c>
      <c r="C758">
        <f t="shared" si="23"/>
        <v>1.2365696338910193</v>
      </c>
      <c r="D758" t="str">
        <f t="shared" si="22"/>
        <v>Normal</v>
      </c>
    </row>
    <row r="759" spans="1:4" x14ac:dyDescent="0.25">
      <c r="A759">
        <v>35878</v>
      </c>
      <c r="C759">
        <f t="shared" si="23"/>
        <v>-0.87454048319315014</v>
      </c>
      <c r="D759" t="str">
        <f t="shared" si="22"/>
        <v>Normal</v>
      </c>
    </row>
    <row r="760" spans="1:4" x14ac:dyDescent="0.25">
      <c r="A760">
        <v>108280</v>
      </c>
      <c r="C760">
        <f t="shared" si="23"/>
        <v>1.4373190751087184</v>
      </c>
      <c r="D760" t="str">
        <f t="shared" si="22"/>
        <v>Normal</v>
      </c>
    </row>
    <row r="761" spans="1:4" x14ac:dyDescent="0.25">
      <c r="A761">
        <v>74985</v>
      </c>
      <c r="C761">
        <f t="shared" si="23"/>
        <v>0.37418043261734085</v>
      </c>
      <c r="D761" t="str">
        <f t="shared" si="22"/>
        <v>Normal</v>
      </c>
    </row>
    <row r="762" spans="1:4" x14ac:dyDescent="0.25">
      <c r="A762">
        <v>100661</v>
      </c>
      <c r="C762">
        <f t="shared" si="23"/>
        <v>1.1940377020154069</v>
      </c>
      <c r="D762" t="str">
        <f t="shared" si="22"/>
        <v>Normal</v>
      </c>
    </row>
    <row r="763" spans="1:4" x14ac:dyDescent="0.25">
      <c r="A763">
        <v>127946</v>
      </c>
      <c r="C763">
        <f t="shared" si="23"/>
        <v>2.0652717569899446</v>
      </c>
      <c r="D763" t="str">
        <f t="shared" si="22"/>
        <v>Normal</v>
      </c>
    </row>
    <row r="764" spans="1:4" x14ac:dyDescent="0.25">
      <c r="A764">
        <v>43704</v>
      </c>
      <c r="C764">
        <f t="shared" si="23"/>
        <v>-0.62464941798403406</v>
      </c>
      <c r="D764" t="str">
        <f t="shared" si="22"/>
        <v>Normal</v>
      </c>
    </row>
    <row r="765" spans="1:4" x14ac:dyDescent="0.25">
      <c r="A765">
        <v>86609</v>
      </c>
      <c r="C765">
        <f t="shared" si="23"/>
        <v>0.74534497925556797</v>
      </c>
      <c r="D765" t="str">
        <f t="shared" si="22"/>
        <v>Normal</v>
      </c>
    </row>
    <row r="766" spans="1:4" x14ac:dyDescent="0.25">
      <c r="A766">
        <v>141262</v>
      </c>
      <c r="C766">
        <f t="shared" si="23"/>
        <v>2.4904633522269224</v>
      </c>
      <c r="D766" t="str">
        <f t="shared" si="22"/>
        <v>Normal</v>
      </c>
    </row>
    <row r="767" spans="1:4" x14ac:dyDescent="0.25">
      <c r="A767">
        <v>90434</v>
      </c>
      <c r="C767">
        <f t="shared" si="23"/>
        <v>0.86748059443891434</v>
      </c>
      <c r="D767" t="str">
        <f t="shared" si="22"/>
        <v>Normal</v>
      </c>
    </row>
    <row r="768" spans="1:4" x14ac:dyDescent="0.25">
      <c r="A768">
        <v>122697</v>
      </c>
      <c r="C768">
        <f t="shared" si="23"/>
        <v>1.8976665689906282</v>
      </c>
      <c r="D768" t="str">
        <f t="shared" si="22"/>
        <v>Normal</v>
      </c>
    </row>
    <row r="769" spans="1:4" x14ac:dyDescent="0.25">
      <c r="A769">
        <v>34397</v>
      </c>
      <c r="C769">
        <f t="shared" si="23"/>
        <v>-0.92183011615695043</v>
      </c>
      <c r="D769" t="str">
        <f t="shared" si="22"/>
        <v>Normal</v>
      </c>
    </row>
    <row r="770" spans="1:4" x14ac:dyDescent="0.25">
      <c r="A770">
        <v>36205</v>
      </c>
      <c r="C770">
        <f t="shared" si="23"/>
        <v>-0.86409908550296599</v>
      </c>
      <c r="D770" t="str">
        <f t="shared" ref="D770:D833" si="24">IF(ABS(C770) &gt; 2.5, "Outlier", "Normal")</f>
        <v>Normal</v>
      </c>
    </row>
    <row r="771" spans="1:4" x14ac:dyDescent="0.25">
      <c r="A771">
        <v>61988</v>
      </c>
      <c r="C771">
        <f t="shared" ref="C771:C834" si="25">(A771 - $B$5) / $B$7</f>
        <v>-4.0825211967744988E-2</v>
      </c>
      <c r="D771" t="str">
        <f t="shared" si="24"/>
        <v>Normal</v>
      </c>
    </row>
    <row r="772" spans="1:4" x14ac:dyDescent="0.25">
      <c r="A772">
        <v>99530</v>
      </c>
      <c r="C772">
        <f t="shared" si="25"/>
        <v>1.15792387697688</v>
      </c>
      <c r="D772" t="str">
        <f t="shared" si="24"/>
        <v>Normal</v>
      </c>
    </row>
    <row r="773" spans="1:4" x14ac:dyDescent="0.25">
      <c r="A773">
        <v>94841</v>
      </c>
      <c r="C773">
        <f t="shared" si="25"/>
        <v>1.0081999816580014</v>
      </c>
      <c r="D773" t="str">
        <f t="shared" si="24"/>
        <v>Normal</v>
      </c>
    </row>
    <row r="774" spans="1:4" x14ac:dyDescent="0.25">
      <c r="A774">
        <v>109218</v>
      </c>
      <c r="C774">
        <f t="shared" si="25"/>
        <v>1.4672702403484514</v>
      </c>
      <c r="D774" t="str">
        <f t="shared" si="24"/>
        <v>Normal</v>
      </c>
    </row>
    <row r="775" spans="1:4" x14ac:dyDescent="0.25">
      <c r="A775">
        <v>70101</v>
      </c>
      <c r="C775">
        <f t="shared" si="25"/>
        <v>0.21823001574009537</v>
      </c>
      <c r="D775" t="str">
        <f t="shared" si="24"/>
        <v>Normal</v>
      </c>
    </row>
    <row r="776" spans="1:4" x14ac:dyDescent="0.25">
      <c r="A776">
        <v>66278</v>
      </c>
      <c r="C776">
        <f t="shared" si="25"/>
        <v>9.6158262316321963E-2</v>
      </c>
      <c r="D776" t="str">
        <f t="shared" si="24"/>
        <v>Normal</v>
      </c>
    </row>
    <row r="777" spans="1:4" x14ac:dyDescent="0.25">
      <c r="A777">
        <v>153069</v>
      </c>
      <c r="C777">
        <f t="shared" si="25"/>
        <v>2.8674712498660782</v>
      </c>
      <c r="D777" t="str">
        <f t="shared" si="24"/>
        <v>Outlier</v>
      </c>
    </row>
    <row r="778" spans="1:4" x14ac:dyDescent="0.25">
      <c r="A778">
        <v>110142</v>
      </c>
      <c r="C778">
        <f t="shared" si="25"/>
        <v>1.4967743732711734</v>
      </c>
      <c r="D778" t="str">
        <f t="shared" si="24"/>
        <v>Normal</v>
      </c>
    </row>
    <row r="779" spans="1:4" x14ac:dyDescent="0.25">
      <c r="A779">
        <v>123893</v>
      </c>
      <c r="C779">
        <f t="shared" si="25"/>
        <v>1.9358559012152772</v>
      </c>
      <c r="D779" t="str">
        <f t="shared" si="24"/>
        <v>Normal</v>
      </c>
    </row>
    <row r="780" spans="1:4" x14ac:dyDescent="0.25">
      <c r="A780">
        <v>22725</v>
      </c>
      <c r="C780">
        <f t="shared" si="25"/>
        <v>-1.2945273450249293</v>
      </c>
      <c r="D780" t="str">
        <f t="shared" si="24"/>
        <v>Normal</v>
      </c>
    </row>
    <row r="781" spans="1:4" x14ac:dyDescent="0.25">
      <c r="A781">
        <v>98826</v>
      </c>
      <c r="C781">
        <f t="shared" si="25"/>
        <v>1.1354445376071871</v>
      </c>
      <c r="D781" t="str">
        <f t="shared" si="24"/>
        <v>Normal</v>
      </c>
    </row>
    <row r="782" spans="1:4" x14ac:dyDescent="0.25">
      <c r="A782">
        <v>100497</v>
      </c>
      <c r="C782">
        <f t="shared" si="25"/>
        <v>1.1888010377304215</v>
      </c>
      <c r="D782" t="str">
        <f t="shared" si="24"/>
        <v>Normal</v>
      </c>
    </row>
    <row r="783" spans="1:4" x14ac:dyDescent="0.25">
      <c r="A783">
        <v>42985</v>
      </c>
      <c r="C783">
        <f t="shared" si="25"/>
        <v>-0.64760772055052451</v>
      </c>
      <c r="D783" t="str">
        <f t="shared" si="24"/>
        <v>Normal</v>
      </c>
    </row>
    <row r="784" spans="1:4" x14ac:dyDescent="0.25">
      <c r="A784">
        <v>146365</v>
      </c>
      <c r="C784">
        <f t="shared" si="25"/>
        <v>2.6534066317774103</v>
      </c>
      <c r="D784" t="str">
        <f t="shared" si="24"/>
        <v>Outlier</v>
      </c>
    </row>
    <row r="785" spans="1:4" x14ac:dyDescent="0.25">
      <c r="A785">
        <v>25819</v>
      </c>
      <c r="C785">
        <f t="shared" si="25"/>
        <v>-1.1957332029655114</v>
      </c>
      <c r="D785" t="str">
        <f t="shared" si="24"/>
        <v>Normal</v>
      </c>
    </row>
    <row r="786" spans="1:4" x14ac:dyDescent="0.25">
      <c r="A786">
        <v>22073</v>
      </c>
      <c r="C786">
        <f t="shared" si="25"/>
        <v>-1.3153462786457246</v>
      </c>
      <c r="D786" t="str">
        <f t="shared" si="24"/>
        <v>Normal</v>
      </c>
    </row>
    <row r="787" spans="1:4" x14ac:dyDescent="0.25">
      <c r="A787">
        <v>92909</v>
      </c>
      <c r="C787">
        <f t="shared" si="25"/>
        <v>0.94650952191049142</v>
      </c>
      <c r="D787" t="str">
        <f t="shared" si="24"/>
        <v>Normal</v>
      </c>
    </row>
    <row r="788" spans="1:4" x14ac:dyDescent="0.25">
      <c r="A788">
        <v>110456</v>
      </c>
      <c r="C788">
        <f t="shared" si="25"/>
        <v>1.5068006695241332</v>
      </c>
      <c r="D788" t="str">
        <f t="shared" si="24"/>
        <v>Normal</v>
      </c>
    </row>
    <row r="789" spans="1:4" x14ac:dyDescent="0.25">
      <c r="A789">
        <v>84829</v>
      </c>
      <c r="C789">
        <f t="shared" si="25"/>
        <v>0.6885080132356054</v>
      </c>
      <c r="D789" t="str">
        <f t="shared" si="24"/>
        <v>Normal</v>
      </c>
    </row>
    <row r="790" spans="1:4" x14ac:dyDescent="0.25">
      <c r="A790">
        <v>121908</v>
      </c>
      <c r="C790">
        <f t="shared" si="25"/>
        <v>1.872473104839083</v>
      </c>
      <c r="D790" t="str">
        <f t="shared" si="24"/>
        <v>Normal</v>
      </c>
    </row>
    <row r="791" spans="1:4" x14ac:dyDescent="0.25">
      <c r="A791">
        <v>95137</v>
      </c>
      <c r="C791">
        <f t="shared" si="25"/>
        <v>1.0176515220748041</v>
      </c>
      <c r="D791" t="str">
        <f t="shared" si="24"/>
        <v>Normal</v>
      </c>
    </row>
    <row r="792" spans="1:4" x14ac:dyDescent="0.25">
      <c r="A792">
        <v>38446</v>
      </c>
      <c r="C792">
        <f t="shared" si="25"/>
        <v>-0.79254198390142894</v>
      </c>
      <c r="D792" t="str">
        <f t="shared" si="24"/>
        <v>Normal</v>
      </c>
    </row>
    <row r="793" spans="1:4" x14ac:dyDescent="0.25">
      <c r="A793">
        <v>69774</v>
      </c>
      <c r="C793">
        <f t="shared" si="25"/>
        <v>0.20778861804991125</v>
      </c>
      <c r="D793" t="str">
        <f t="shared" si="24"/>
        <v>Normal</v>
      </c>
    </row>
    <row r="794" spans="1:4" x14ac:dyDescent="0.25">
      <c r="A794">
        <v>107488</v>
      </c>
      <c r="C794">
        <f t="shared" si="25"/>
        <v>1.4120298183178137</v>
      </c>
      <c r="D794" t="str">
        <f t="shared" si="24"/>
        <v>Normal</v>
      </c>
    </row>
    <row r="795" spans="1:4" x14ac:dyDescent="0.25">
      <c r="A795">
        <v>37492</v>
      </c>
      <c r="C795">
        <f t="shared" si="25"/>
        <v>-0.82300404321774601</v>
      </c>
      <c r="D795" t="str">
        <f t="shared" si="24"/>
        <v>Normal</v>
      </c>
    </row>
    <row r="796" spans="1:4" x14ac:dyDescent="0.25">
      <c r="A796">
        <v>122020</v>
      </c>
      <c r="C796">
        <f t="shared" si="25"/>
        <v>1.8760493633751705</v>
      </c>
      <c r="D796" t="str">
        <f t="shared" si="24"/>
        <v>Normal</v>
      </c>
    </row>
    <row r="797" spans="1:4" x14ac:dyDescent="0.25">
      <c r="A797">
        <v>24450</v>
      </c>
      <c r="C797">
        <f t="shared" si="25"/>
        <v>-1.2394465773932242</v>
      </c>
      <c r="D797" t="str">
        <f t="shared" si="24"/>
        <v>Normal</v>
      </c>
    </row>
    <row r="798" spans="1:4" x14ac:dyDescent="0.25">
      <c r="A798">
        <v>103705</v>
      </c>
      <c r="C798">
        <f t="shared" si="25"/>
        <v>1.2912353000855001</v>
      </c>
      <c r="D798" t="str">
        <f t="shared" si="24"/>
        <v>Normal</v>
      </c>
    </row>
    <row r="799" spans="1:4" x14ac:dyDescent="0.25">
      <c r="A799">
        <v>89917</v>
      </c>
      <c r="C799">
        <f t="shared" si="25"/>
        <v>0.85097232958929603</v>
      </c>
      <c r="D799" t="str">
        <f t="shared" si="24"/>
        <v>Normal</v>
      </c>
    </row>
    <row r="800" spans="1:4" x14ac:dyDescent="0.25">
      <c r="A800">
        <v>43249</v>
      </c>
      <c r="C800">
        <f t="shared" si="25"/>
        <v>-0.63917796828688966</v>
      </c>
      <c r="D800" t="str">
        <f t="shared" si="24"/>
        <v>Normal</v>
      </c>
    </row>
    <row r="801" spans="1:4" x14ac:dyDescent="0.25">
      <c r="A801">
        <v>50798</v>
      </c>
      <c r="C801">
        <f t="shared" si="25"/>
        <v>-0.39813175677863294</v>
      </c>
      <c r="D801" t="str">
        <f t="shared" si="24"/>
        <v>Normal</v>
      </c>
    </row>
    <row r="802" spans="1:4" x14ac:dyDescent="0.25">
      <c r="A802">
        <v>36488</v>
      </c>
      <c r="C802">
        <f t="shared" si="25"/>
        <v>-0.8550626465233877</v>
      </c>
      <c r="D802" t="str">
        <f t="shared" si="24"/>
        <v>Normal</v>
      </c>
    </row>
    <row r="803" spans="1:4" x14ac:dyDescent="0.25">
      <c r="A803">
        <v>40159</v>
      </c>
      <c r="C803">
        <f t="shared" si="25"/>
        <v>-0.73784438682716169</v>
      </c>
      <c r="D803" t="str">
        <f t="shared" si="24"/>
        <v>Normal</v>
      </c>
    </row>
    <row r="804" spans="1:4" x14ac:dyDescent="0.25">
      <c r="A804">
        <v>92276</v>
      </c>
      <c r="C804">
        <f t="shared" si="25"/>
        <v>0.92629727500563963</v>
      </c>
      <c r="D804" t="str">
        <f t="shared" si="24"/>
        <v>Normal</v>
      </c>
    </row>
    <row r="805" spans="1:4" x14ac:dyDescent="0.25">
      <c r="A805">
        <v>78499</v>
      </c>
      <c r="C805">
        <f t="shared" si="25"/>
        <v>0.48638554418708707</v>
      </c>
      <c r="D805" t="str">
        <f t="shared" si="24"/>
        <v>Normal</v>
      </c>
    </row>
    <row r="806" spans="1:4" x14ac:dyDescent="0.25">
      <c r="A806">
        <v>97165</v>
      </c>
      <c r="C806">
        <f t="shared" si="25"/>
        <v>1.0824073462818176</v>
      </c>
      <c r="D806" t="str">
        <f t="shared" si="24"/>
        <v>Normal</v>
      </c>
    </row>
    <row r="807" spans="1:4" x14ac:dyDescent="0.25">
      <c r="A807">
        <v>110516</v>
      </c>
      <c r="C807">
        <f t="shared" si="25"/>
        <v>1.5087165223113228</v>
      </c>
      <c r="D807" t="str">
        <f t="shared" si="24"/>
        <v>Normal</v>
      </c>
    </row>
    <row r="808" spans="1:4" x14ac:dyDescent="0.25">
      <c r="A808">
        <v>26913</v>
      </c>
      <c r="C808">
        <f t="shared" si="25"/>
        <v>-1.1608008204790849</v>
      </c>
      <c r="D808" t="str">
        <f t="shared" si="24"/>
        <v>Normal</v>
      </c>
    </row>
    <row r="809" spans="1:4" x14ac:dyDescent="0.25">
      <c r="A809">
        <v>46384</v>
      </c>
      <c r="C809">
        <f t="shared" si="25"/>
        <v>-0.5390746601562254</v>
      </c>
      <c r="D809" t="str">
        <f t="shared" si="24"/>
        <v>Normal</v>
      </c>
    </row>
    <row r="810" spans="1:4" x14ac:dyDescent="0.25">
      <c r="A810">
        <v>107392</v>
      </c>
      <c r="C810">
        <f t="shared" si="25"/>
        <v>1.4089644538583099</v>
      </c>
      <c r="D810" t="str">
        <f t="shared" si="24"/>
        <v>Normal</v>
      </c>
    </row>
    <row r="811" spans="1:4" x14ac:dyDescent="0.25">
      <c r="A811">
        <v>62708</v>
      </c>
      <c r="C811">
        <f t="shared" si="25"/>
        <v>-1.7834978521468019E-2</v>
      </c>
      <c r="D811" t="str">
        <f t="shared" si="24"/>
        <v>Normal</v>
      </c>
    </row>
    <row r="812" spans="1:4" x14ac:dyDescent="0.25">
      <c r="A812">
        <v>39098</v>
      </c>
      <c r="C812">
        <f t="shared" si="25"/>
        <v>-0.7717230502806337</v>
      </c>
      <c r="D812" t="str">
        <f t="shared" si="24"/>
        <v>Normal</v>
      </c>
    </row>
    <row r="813" spans="1:4" x14ac:dyDescent="0.25">
      <c r="A813">
        <v>57627</v>
      </c>
      <c r="C813">
        <f t="shared" si="25"/>
        <v>-0.18007577871665315</v>
      </c>
      <c r="D813" t="str">
        <f t="shared" si="24"/>
        <v>Normal</v>
      </c>
    </row>
    <row r="814" spans="1:4" x14ac:dyDescent="0.25">
      <c r="A814">
        <v>135983</v>
      </c>
      <c r="C814">
        <f t="shared" si="25"/>
        <v>2.321900237834011</v>
      </c>
      <c r="D814" t="str">
        <f t="shared" si="24"/>
        <v>Normal</v>
      </c>
    </row>
    <row r="815" spans="1:4" x14ac:dyDescent="0.25">
      <c r="A815">
        <v>137961</v>
      </c>
      <c r="C815">
        <f t="shared" si="25"/>
        <v>2.3850595180516998</v>
      </c>
      <c r="D815" t="str">
        <f t="shared" si="24"/>
        <v>Normal</v>
      </c>
    </row>
    <row r="816" spans="1:4" x14ac:dyDescent="0.25">
      <c r="A816">
        <v>30215</v>
      </c>
      <c r="C816">
        <f t="shared" si="25"/>
        <v>-1.0553650554240759</v>
      </c>
      <c r="D816" t="str">
        <f t="shared" si="24"/>
        <v>Normal</v>
      </c>
    </row>
    <row r="817" spans="1:4" x14ac:dyDescent="0.25">
      <c r="A817">
        <v>26306</v>
      </c>
      <c r="C817">
        <f t="shared" si="25"/>
        <v>-1.1801828645094878</v>
      </c>
      <c r="D817" t="str">
        <f t="shared" si="24"/>
        <v>Normal</v>
      </c>
    </row>
    <row r="818" spans="1:4" x14ac:dyDescent="0.25">
      <c r="A818">
        <v>40290</v>
      </c>
      <c r="C818">
        <f t="shared" si="25"/>
        <v>-0.73366144157513069</v>
      </c>
      <c r="D818" t="str">
        <f t="shared" si="24"/>
        <v>Normal</v>
      </c>
    </row>
    <row r="819" spans="1:4" x14ac:dyDescent="0.25">
      <c r="A819">
        <v>28009</v>
      </c>
      <c r="C819">
        <f t="shared" si="25"/>
        <v>-1.1258045762330855</v>
      </c>
      <c r="D819" t="str">
        <f t="shared" si="24"/>
        <v>Normal</v>
      </c>
    </row>
    <row r="820" spans="1:4" x14ac:dyDescent="0.25">
      <c r="A820">
        <v>133739</v>
      </c>
      <c r="C820">
        <f t="shared" si="25"/>
        <v>2.2502473435931143</v>
      </c>
      <c r="D820" t="str">
        <f t="shared" si="24"/>
        <v>Normal</v>
      </c>
    </row>
    <row r="821" spans="1:4" x14ac:dyDescent="0.25">
      <c r="A821">
        <v>54487</v>
      </c>
      <c r="C821">
        <f t="shared" si="25"/>
        <v>-0.28033874124624991</v>
      </c>
      <c r="D821" t="str">
        <f t="shared" si="24"/>
        <v>Normal</v>
      </c>
    </row>
    <row r="822" spans="1:4" x14ac:dyDescent="0.25">
      <c r="A822">
        <v>102844</v>
      </c>
      <c r="C822">
        <f t="shared" si="25"/>
        <v>1.2637428125893271</v>
      </c>
      <c r="D822" t="str">
        <f t="shared" si="24"/>
        <v>Normal</v>
      </c>
    </row>
    <row r="823" spans="1:4" x14ac:dyDescent="0.25">
      <c r="A823">
        <v>98885</v>
      </c>
      <c r="C823">
        <f t="shared" si="25"/>
        <v>1.1373284595145903</v>
      </c>
      <c r="D823" t="str">
        <f t="shared" si="24"/>
        <v>Normal</v>
      </c>
    </row>
    <row r="824" spans="1:4" x14ac:dyDescent="0.25">
      <c r="A824">
        <v>154969</v>
      </c>
      <c r="C824">
        <f t="shared" si="25"/>
        <v>2.9281399214604202</v>
      </c>
      <c r="D824" t="str">
        <f t="shared" si="24"/>
        <v>Outlier</v>
      </c>
    </row>
    <row r="825" spans="1:4" x14ac:dyDescent="0.25">
      <c r="A825">
        <v>30755</v>
      </c>
      <c r="C825">
        <f t="shared" si="25"/>
        <v>-1.0381223803393682</v>
      </c>
      <c r="D825" t="str">
        <f t="shared" si="24"/>
        <v>Normal</v>
      </c>
    </row>
    <row r="826" spans="1:4" x14ac:dyDescent="0.25">
      <c r="A826">
        <v>119516</v>
      </c>
      <c r="C826">
        <f t="shared" si="25"/>
        <v>1.7960944403897849</v>
      </c>
      <c r="D826" t="str">
        <f t="shared" si="24"/>
        <v>Normal</v>
      </c>
    </row>
    <row r="827" spans="1:4" x14ac:dyDescent="0.25">
      <c r="A827">
        <v>45610</v>
      </c>
      <c r="C827">
        <f t="shared" si="25"/>
        <v>-0.5637891611109731</v>
      </c>
      <c r="D827" t="str">
        <f t="shared" si="24"/>
        <v>Normal</v>
      </c>
    </row>
    <row r="828" spans="1:4" x14ac:dyDescent="0.25">
      <c r="A828">
        <v>109990</v>
      </c>
      <c r="C828">
        <f t="shared" si="25"/>
        <v>1.4919208795436261</v>
      </c>
      <c r="D828" t="str">
        <f t="shared" si="24"/>
        <v>Normal</v>
      </c>
    </row>
    <row r="829" spans="1:4" x14ac:dyDescent="0.25">
      <c r="A829">
        <v>119002</v>
      </c>
      <c r="C829">
        <f t="shared" si="25"/>
        <v>1.7796819681795262</v>
      </c>
      <c r="D829" t="str">
        <f t="shared" si="24"/>
        <v>Normal</v>
      </c>
    </row>
    <row r="830" spans="1:4" x14ac:dyDescent="0.25">
      <c r="A830">
        <v>35998</v>
      </c>
      <c r="C830">
        <f t="shared" si="25"/>
        <v>-0.87070877761877064</v>
      </c>
      <c r="D830" t="str">
        <f t="shared" si="24"/>
        <v>Normal</v>
      </c>
    </row>
    <row r="831" spans="1:4" x14ac:dyDescent="0.25">
      <c r="A831">
        <v>37556</v>
      </c>
      <c r="C831">
        <f t="shared" si="25"/>
        <v>-0.82096046691141022</v>
      </c>
      <c r="D831" t="str">
        <f t="shared" si="24"/>
        <v>Normal</v>
      </c>
    </row>
    <row r="832" spans="1:4" x14ac:dyDescent="0.25">
      <c r="A832">
        <v>132863</v>
      </c>
      <c r="C832">
        <f t="shared" si="25"/>
        <v>2.2222758929001443</v>
      </c>
      <c r="D832" t="str">
        <f t="shared" si="24"/>
        <v>Normal</v>
      </c>
    </row>
    <row r="833" spans="1:4" x14ac:dyDescent="0.25">
      <c r="A833">
        <v>80005</v>
      </c>
      <c r="C833">
        <f t="shared" si="25"/>
        <v>0.53447344914554973</v>
      </c>
      <c r="D833" t="str">
        <f t="shared" si="24"/>
        <v>Normal</v>
      </c>
    </row>
    <row r="834" spans="1:4" x14ac:dyDescent="0.25">
      <c r="A834">
        <v>43703</v>
      </c>
      <c r="C834">
        <f t="shared" si="25"/>
        <v>-0.62468134886382054</v>
      </c>
      <c r="D834" t="str">
        <f t="shared" ref="D834:D897" si="26">IF(ABS(C834) &gt; 2.5, "Outlier", "Normal")</f>
        <v>Normal</v>
      </c>
    </row>
    <row r="835" spans="1:4" x14ac:dyDescent="0.25">
      <c r="A835">
        <v>124886</v>
      </c>
      <c r="C835">
        <f t="shared" ref="C835:C898" si="27">(A835 - $B$5) / $B$7</f>
        <v>1.9675632648432675</v>
      </c>
      <c r="D835" t="str">
        <f t="shared" si="26"/>
        <v>Normal</v>
      </c>
    </row>
    <row r="836" spans="1:4" x14ac:dyDescent="0.25">
      <c r="A836">
        <v>88529</v>
      </c>
      <c r="C836">
        <f t="shared" si="27"/>
        <v>0.80665226844563986</v>
      </c>
      <c r="D836" t="str">
        <f t="shared" si="26"/>
        <v>Normal</v>
      </c>
    </row>
    <row r="837" spans="1:4" x14ac:dyDescent="0.25">
      <c r="A837">
        <v>121237</v>
      </c>
      <c r="C837">
        <f t="shared" si="27"/>
        <v>1.8510474845023444</v>
      </c>
      <c r="D837" t="str">
        <f t="shared" si="26"/>
        <v>Normal</v>
      </c>
    </row>
    <row r="838" spans="1:4" x14ac:dyDescent="0.25">
      <c r="A838">
        <v>72759</v>
      </c>
      <c r="C838">
        <f t="shared" si="27"/>
        <v>0.30310229421260121</v>
      </c>
      <c r="D838" t="str">
        <f t="shared" si="26"/>
        <v>Normal</v>
      </c>
    </row>
    <row r="839" spans="1:4" x14ac:dyDescent="0.25">
      <c r="A839">
        <v>109416</v>
      </c>
      <c r="C839">
        <f t="shared" si="27"/>
        <v>1.4735925545461774</v>
      </c>
      <c r="D839" t="str">
        <f t="shared" si="26"/>
        <v>Normal</v>
      </c>
    </row>
    <row r="840" spans="1:4" x14ac:dyDescent="0.25">
      <c r="A840">
        <v>61501</v>
      </c>
      <c r="C840">
        <f t="shared" si="27"/>
        <v>-5.637555042376844E-2</v>
      </c>
      <c r="D840" t="str">
        <f t="shared" si="26"/>
        <v>Normal</v>
      </c>
    </row>
    <row r="841" spans="1:4" x14ac:dyDescent="0.25">
      <c r="A841">
        <v>121568</v>
      </c>
      <c r="C841">
        <f t="shared" si="27"/>
        <v>1.8616166057116743</v>
      </c>
      <c r="D841" t="str">
        <f t="shared" si="26"/>
        <v>Normal</v>
      </c>
    </row>
    <row r="842" spans="1:4" x14ac:dyDescent="0.25">
      <c r="A842">
        <v>114287</v>
      </c>
      <c r="C842">
        <f t="shared" si="27"/>
        <v>1.6291278699861986</v>
      </c>
      <c r="D842" t="str">
        <f t="shared" si="26"/>
        <v>Normal</v>
      </c>
    </row>
    <row r="843" spans="1:4" x14ac:dyDescent="0.25">
      <c r="A843">
        <v>37772</v>
      </c>
      <c r="C843">
        <f t="shared" si="27"/>
        <v>-0.81406339687752716</v>
      </c>
      <c r="D843" t="str">
        <f t="shared" si="26"/>
        <v>Normal</v>
      </c>
    </row>
    <row r="844" spans="1:4" x14ac:dyDescent="0.25">
      <c r="A844">
        <v>66142</v>
      </c>
      <c r="C844">
        <f t="shared" si="27"/>
        <v>9.1815662665358538E-2</v>
      </c>
      <c r="D844" t="str">
        <f t="shared" si="26"/>
        <v>Normal</v>
      </c>
    </row>
    <row r="845" spans="1:4" x14ac:dyDescent="0.25">
      <c r="A845">
        <v>72728</v>
      </c>
      <c r="C845">
        <f t="shared" si="27"/>
        <v>0.30211243693921985</v>
      </c>
      <c r="D845" t="str">
        <f t="shared" si="26"/>
        <v>Normal</v>
      </c>
    </row>
    <row r="846" spans="1:4" x14ac:dyDescent="0.25">
      <c r="A846">
        <v>154995</v>
      </c>
      <c r="C846">
        <f t="shared" si="27"/>
        <v>2.9289701243348691</v>
      </c>
      <c r="D846" t="str">
        <f t="shared" si="26"/>
        <v>Outlier</v>
      </c>
    </row>
    <row r="847" spans="1:4" x14ac:dyDescent="0.25">
      <c r="A847">
        <v>115035</v>
      </c>
      <c r="C847">
        <f t="shared" si="27"/>
        <v>1.6530121680664973</v>
      </c>
      <c r="D847" t="str">
        <f t="shared" si="26"/>
        <v>Normal</v>
      </c>
    </row>
    <row r="848" spans="1:4" x14ac:dyDescent="0.25">
      <c r="A848">
        <v>45116</v>
      </c>
      <c r="C848">
        <f t="shared" si="27"/>
        <v>-0.57956301572550206</v>
      </c>
      <c r="D848" t="str">
        <f t="shared" si="26"/>
        <v>Normal</v>
      </c>
    </row>
    <row r="849" spans="1:4" x14ac:dyDescent="0.25">
      <c r="A849">
        <v>71216</v>
      </c>
      <c r="C849">
        <f t="shared" si="27"/>
        <v>0.25383294670203821</v>
      </c>
      <c r="D849" t="str">
        <f t="shared" si="26"/>
        <v>Normal</v>
      </c>
    </row>
    <row r="850" spans="1:4" x14ac:dyDescent="0.25">
      <c r="A850">
        <v>42112</v>
      </c>
      <c r="C850">
        <f t="shared" si="27"/>
        <v>-0.67548337860413543</v>
      </c>
      <c r="D850" t="str">
        <f t="shared" si="26"/>
        <v>Normal</v>
      </c>
    </row>
    <row r="851" spans="1:4" x14ac:dyDescent="0.25">
      <c r="A851">
        <v>89150</v>
      </c>
      <c r="C851">
        <f t="shared" si="27"/>
        <v>0.8264813447930538</v>
      </c>
      <c r="D851" t="str">
        <f t="shared" si="26"/>
        <v>Normal</v>
      </c>
    </row>
    <row r="852" spans="1:4" x14ac:dyDescent="0.25">
      <c r="A852">
        <v>114740</v>
      </c>
      <c r="C852">
        <f t="shared" si="27"/>
        <v>1.6435925585294811</v>
      </c>
      <c r="D852" t="str">
        <f t="shared" si="26"/>
        <v>Normal</v>
      </c>
    </row>
    <row r="853" spans="1:4" x14ac:dyDescent="0.25">
      <c r="A853">
        <v>102803</v>
      </c>
      <c r="C853">
        <f t="shared" si="27"/>
        <v>1.2624336465180808</v>
      </c>
      <c r="D853" t="str">
        <f t="shared" si="26"/>
        <v>Normal</v>
      </c>
    </row>
    <row r="854" spans="1:4" x14ac:dyDescent="0.25">
      <c r="A854">
        <v>44050</v>
      </c>
      <c r="C854">
        <f t="shared" si="27"/>
        <v>-0.61360133357790658</v>
      </c>
      <c r="D854" t="str">
        <f t="shared" si="26"/>
        <v>Normal</v>
      </c>
    </row>
    <row r="855" spans="1:4" x14ac:dyDescent="0.25">
      <c r="A855">
        <v>38748</v>
      </c>
      <c r="C855">
        <f t="shared" si="27"/>
        <v>-0.78289885820590721</v>
      </c>
      <c r="D855" t="str">
        <f t="shared" si="26"/>
        <v>Normal</v>
      </c>
    </row>
    <row r="856" spans="1:4" x14ac:dyDescent="0.25">
      <c r="A856">
        <v>83375</v>
      </c>
      <c r="C856">
        <f t="shared" si="27"/>
        <v>0.64208051402604049</v>
      </c>
      <c r="D856" t="str">
        <f t="shared" si="26"/>
        <v>Normal</v>
      </c>
    </row>
    <row r="857" spans="1:4" x14ac:dyDescent="0.25">
      <c r="A857">
        <v>67065</v>
      </c>
      <c r="C857">
        <f t="shared" si="27"/>
        <v>0.12128786470829415</v>
      </c>
      <c r="D857" t="str">
        <f t="shared" si="26"/>
        <v>Normal</v>
      </c>
    </row>
    <row r="858" spans="1:4" x14ac:dyDescent="0.25">
      <c r="A858">
        <v>23504</v>
      </c>
      <c r="C858">
        <f t="shared" si="27"/>
        <v>-1.2696531896712491</v>
      </c>
      <c r="D858" t="str">
        <f t="shared" si="26"/>
        <v>Normal</v>
      </c>
    </row>
    <row r="859" spans="1:4" x14ac:dyDescent="0.25">
      <c r="A859">
        <v>66187</v>
      </c>
      <c r="C859">
        <f t="shared" si="27"/>
        <v>9.3252552255750853E-2</v>
      </c>
      <c r="D859" t="str">
        <f t="shared" si="26"/>
        <v>Normal</v>
      </c>
    </row>
    <row r="860" spans="1:4" x14ac:dyDescent="0.25">
      <c r="A860">
        <v>43936</v>
      </c>
      <c r="C860">
        <f t="shared" si="27"/>
        <v>-0.6172414538735671</v>
      </c>
      <c r="D860" t="str">
        <f t="shared" si="26"/>
        <v>Normal</v>
      </c>
    </row>
    <row r="861" spans="1:4" x14ac:dyDescent="0.25">
      <c r="A861">
        <v>77682</v>
      </c>
      <c r="C861">
        <f t="shared" si="27"/>
        <v>0.46029801540151999</v>
      </c>
      <c r="D861" t="str">
        <f t="shared" si="26"/>
        <v>Normal</v>
      </c>
    </row>
    <row r="862" spans="1:4" x14ac:dyDescent="0.25">
      <c r="A862">
        <v>30443</v>
      </c>
      <c r="C862">
        <f t="shared" si="27"/>
        <v>-1.0480848148327548</v>
      </c>
      <c r="D862" t="str">
        <f t="shared" si="26"/>
        <v>Normal</v>
      </c>
    </row>
    <row r="863" spans="1:4" x14ac:dyDescent="0.25">
      <c r="A863">
        <v>51732</v>
      </c>
      <c r="C863">
        <f t="shared" si="27"/>
        <v>-0.36830831505804584</v>
      </c>
      <c r="D863" t="str">
        <f t="shared" si="26"/>
        <v>Normal</v>
      </c>
    </row>
    <row r="864" spans="1:4" x14ac:dyDescent="0.25">
      <c r="A864">
        <v>47213</v>
      </c>
      <c r="C864">
        <f t="shared" si="27"/>
        <v>-0.51260396081322035</v>
      </c>
      <c r="D864" t="str">
        <f t="shared" si="26"/>
        <v>Normal</v>
      </c>
    </row>
    <row r="865" spans="1:4" x14ac:dyDescent="0.25">
      <c r="A865">
        <v>71813</v>
      </c>
      <c r="C865">
        <f t="shared" si="27"/>
        <v>0.2728956819345762</v>
      </c>
      <c r="D865" t="str">
        <f t="shared" si="26"/>
        <v>Normal</v>
      </c>
    </row>
    <row r="866" spans="1:4" x14ac:dyDescent="0.25">
      <c r="A866">
        <v>114181</v>
      </c>
      <c r="C866">
        <f t="shared" si="27"/>
        <v>1.6257431967288301</v>
      </c>
      <c r="D866" t="str">
        <f t="shared" si="26"/>
        <v>Normal</v>
      </c>
    </row>
    <row r="867" spans="1:4" x14ac:dyDescent="0.25">
      <c r="A867">
        <v>71697</v>
      </c>
      <c r="C867">
        <f t="shared" si="27"/>
        <v>0.26919169987934266</v>
      </c>
      <c r="D867" t="str">
        <f t="shared" si="26"/>
        <v>Normal</v>
      </c>
    </row>
    <row r="868" spans="1:4" x14ac:dyDescent="0.25">
      <c r="A868">
        <v>133307</v>
      </c>
      <c r="C868">
        <f t="shared" si="27"/>
        <v>2.2364532035253482</v>
      </c>
      <c r="D868" t="str">
        <f t="shared" si="26"/>
        <v>Normal</v>
      </c>
    </row>
    <row r="869" spans="1:4" x14ac:dyDescent="0.25">
      <c r="A869">
        <v>36955</v>
      </c>
      <c r="C869">
        <f t="shared" si="27"/>
        <v>-0.84015092566309424</v>
      </c>
      <c r="D869" t="str">
        <f t="shared" si="26"/>
        <v>Normal</v>
      </c>
    </row>
    <row r="870" spans="1:4" x14ac:dyDescent="0.25">
      <c r="A870">
        <v>151557</v>
      </c>
      <c r="C870">
        <f t="shared" si="27"/>
        <v>2.8191917596288967</v>
      </c>
      <c r="D870" t="str">
        <f t="shared" si="26"/>
        <v>Outlier</v>
      </c>
    </row>
    <row r="871" spans="1:4" x14ac:dyDescent="0.25">
      <c r="A871">
        <v>92073</v>
      </c>
      <c r="C871">
        <f t="shared" si="27"/>
        <v>0.91981530640898101</v>
      </c>
      <c r="D871" t="str">
        <f t="shared" si="26"/>
        <v>Normal</v>
      </c>
    </row>
    <row r="872" spans="1:4" x14ac:dyDescent="0.25">
      <c r="A872">
        <v>118549</v>
      </c>
      <c r="C872">
        <f t="shared" si="27"/>
        <v>1.7652172796362435</v>
      </c>
      <c r="D872" t="str">
        <f t="shared" si="26"/>
        <v>Normal</v>
      </c>
    </row>
    <row r="873" spans="1:4" x14ac:dyDescent="0.25">
      <c r="A873">
        <v>86627</v>
      </c>
      <c r="C873">
        <f t="shared" si="27"/>
        <v>0.74591973509172482</v>
      </c>
      <c r="D873" t="str">
        <f t="shared" si="26"/>
        <v>Normal</v>
      </c>
    </row>
    <row r="874" spans="1:4" x14ac:dyDescent="0.25">
      <c r="A874">
        <v>131923</v>
      </c>
      <c r="C874">
        <f t="shared" si="27"/>
        <v>2.1922608659008382</v>
      </c>
      <c r="D874" t="str">
        <f t="shared" si="26"/>
        <v>Normal</v>
      </c>
    </row>
    <row r="875" spans="1:4" x14ac:dyDescent="0.25">
      <c r="A875">
        <v>103592</v>
      </c>
      <c r="C875">
        <f t="shared" si="27"/>
        <v>1.287627110669626</v>
      </c>
      <c r="D875" t="str">
        <f t="shared" si="26"/>
        <v>Normal</v>
      </c>
    </row>
    <row r="876" spans="1:4" x14ac:dyDescent="0.25">
      <c r="A876">
        <v>56112</v>
      </c>
      <c r="C876">
        <f t="shared" si="27"/>
        <v>-0.22845106159319428</v>
      </c>
      <c r="D876" t="str">
        <f t="shared" si="26"/>
        <v>Normal</v>
      </c>
    </row>
    <row r="877" spans="1:4" x14ac:dyDescent="0.25">
      <c r="A877">
        <v>115685</v>
      </c>
      <c r="C877">
        <f t="shared" si="27"/>
        <v>1.6737672399277197</v>
      </c>
      <c r="D877" t="str">
        <f t="shared" si="26"/>
        <v>Normal</v>
      </c>
    </row>
    <row r="878" spans="1:4" x14ac:dyDescent="0.25">
      <c r="A878">
        <v>138748</v>
      </c>
      <c r="C878">
        <f t="shared" si="27"/>
        <v>2.4101891204436718</v>
      </c>
      <c r="D878" t="str">
        <f t="shared" si="26"/>
        <v>Normal</v>
      </c>
    </row>
    <row r="879" spans="1:4" x14ac:dyDescent="0.25">
      <c r="A879">
        <v>40204</v>
      </c>
      <c r="C879">
        <f t="shared" si="27"/>
        <v>-0.73640749723676935</v>
      </c>
      <c r="D879" t="str">
        <f t="shared" si="26"/>
        <v>Normal</v>
      </c>
    </row>
    <row r="880" spans="1:4" x14ac:dyDescent="0.25">
      <c r="A880">
        <v>121289</v>
      </c>
      <c r="C880">
        <f t="shared" si="27"/>
        <v>1.8527078902512422</v>
      </c>
      <c r="D880" t="str">
        <f t="shared" si="26"/>
        <v>Normal</v>
      </c>
    </row>
    <row r="881" spans="1:4" x14ac:dyDescent="0.25">
      <c r="A881">
        <v>41979</v>
      </c>
      <c r="C881">
        <f t="shared" si="27"/>
        <v>-0.67973018561573928</v>
      </c>
      <c r="D881" t="str">
        <f t="shared" si="26"/>
        <v>Normal</v>
      </c>
    </row>
    <row r="882" spans="1:4" x14ac:dyDescent="0.25">
      <c r="A882">
        <v>39241</v>
      </c>
      <c r="C882">
        <f t="shared" si="27"/>
        <v>-0.76715693447116484</v>
      </c>
      <c r="D882" t="str">
        <f t="shared" si="26"/>
        <v>Normal</v>
      </c>
    </row>
    <row r="883" spans="1:4" x14ac:dyDescent="0.25">
      <c r="A883">
        <v>51011</v>
      </c>
      <c r="C883">
        <f t="shared" si="27"/>
        <v>-0.39133047938410931</v>
      </c>
      <c r="D883" t="str">
        <f t="shared" si="26"/>
        <v>Normal</v>
      </c>
    </row>
    <row r="884" spans="1:4" x14ac:dyDescent="0.25">
      <c r="A884">
        <v>44575</v>
      </c>
      <c r="C884">
        <f t="shared" si="27"/>
        <v>-0.59683762168999621</v>
      </c>
      <c r="D884" t="str">
        <f t="shared" si="26"/>
        <v>Normal</v>
      </c>
    </row>
    <row r="885" spans="1:4" x14ac:dyDescent="0.25">
      <c r="A885">
        <v>128636</v>
      </c>
      <c r="C885">
        <f t="shared" si="27"/>
        <v>2.0873040640426268</v>
      </c>
      <c r="D885" t="str">
        <f t="shared" si="26"/>
        <v>Normal</v>
      </c>
    </row>
    <row r="886" spans="1:4" x14ac:dyDescent="0.25">
      <c r="A886">
        <v>51971</v>
      </c>
      <c r="C886">
        <f t="shared" si="27"/>
        <v>-0.36067683478907336</v>
      </c>
      <c r="D886" t="str">
        <f t="shared" si="26"/>
        <v>Normal</v>
      </c>
    </row>
    <row r="887" spans="1:4" x14ac:dyDescent="0.25">
      <c r="A887">
        <v>29215</v>
      </c>
      <c r="C887">
        <f t="shared" si="27"/>
        <v>-1.0872959352105716</v>
      </c>
      <c r="D887" t="str">
        <f t="shared" si="26"/>
        <v>Normal</v>
      </c>
    </row>
    <row r="888" spans="1:4" x14ac:dyDescent="0.25">
      <c r="A888">
        <v>110356</v>
      </c>
      <c r="C888">
        <f t="shared" si="27"/>
        <v>1.5036075815454835</v>
      </c>
      <c r="D888" t="str">
        <f t="shared" si="26"/>
        <v>Normal</v>
      </c>
    </row>
    <row r="889" spans="1:4" x14ac:dyDescent="0.25">
      <c r="A889">
        <v>55311</v>
      </c>
      <c r="C889">
        <f t="shared" si="27"/>
        <v>-0.25402769630217742</v>
      </c>
      <c r="D889" t="str">
        <f t="shared" si="26"/>
        <v>Normal</v>
      </c>
    </row>
    <row r="890" spans="1:4" x14ac:dyDescent="0.25">
      <c r="A890">
        <v>93182</v>
      </c>
      <c r="C890">
        <f t="shared" si="27"/>
        <v>0.95522665209220481</v>
      </c>
      <c r="D890" t="str">
        <f t="shared" si="26"/>
        <v>Normal</v>
      </c>
    </row>
    <row r="891" spans="1:4" x14ac:dyDescent="0.25">
      <c r="A891">
        <v>119760</v>
      </c>
      <c r="C891">
        <f t="shared" si="27"/>
        <v>1.8038855750576901</v>
      </c>
      <c r="D891" t="str">
        <f t="shared" si="26"/>
        <v>Normal</v>
      </c>
    </row>
    <row r="892" spans="1:4" x14ac:dyDescent="0.25">
      <c r="A892">
        <v>109956</v>
      </c>
      <c r="C892">
        <f t="shared" si="27"/>
        <v>1.4908352296308853</v>
      </c>
      <c r="D892" t="str">
        <f t="shared" si="26"/>
        <v>Normal</v>
      </c>
    </row>
    <row r="893" spans="1:4" x14ac:dyDescent="0.25">
      <c r="A893">
        <v>35529</v>
      </c>
      <c r="C893">
        <f t="shared" si="27"/>
        <v>-0.88568436023863717</v>
      </c>
      <c r="D893" t="str">
        <f t="shared" si="26"/>
        <v>Normal</v>
      </c>
    </row>
    <row r="894" spans="1:4" x14ac:dyDescent="0.25">
      <c r="A894">
        <v>77855</v>
      </c>
      <c r="C894">
        <f t="shared" si="27"/>
        <v>0.46582205760458378</v>
      </c>
      <c r="D894" t="str">
        <f t="shared" si="26"/>
        <v>Normal</v>
      </c>
    </row>
    <row r="895" spans="1:4" x14ac:dyDescent="0.25">
      <c r="A895">
        <v>101546</v>
      </c>
      <c r="C895">
        <f t="shared" si="27"/>
        <v>1.2222965306264557</v>
      </c>
      <c r="D895" t="str">
        <f t="shared" si="26"/>
        <v>Normal</v>
      </c>
    </row>
    <row r="896" spans="1:4" x14ac:dyDescent="0.25">
      <c r="A896">
        <v>100607</v>
      </c>
      <c r="C896">
        <f t="shared" si="27"/>
        <v>1.1923134345069362</v>
      </c>
      <c r="D896" t="str">
        <f t="shared" si="26"/>
        <v>Normal</v>
      </c>
    </row>
    <row r="897" spans="1:4" x14ac:dyDescent="0.25">
      <c r="A897">
        <v>67085</v>
      </c>
      <c r="C897">
        <f t="shared" si="27"/>
        <v>0.12192648230402407</v>
      </c>
      <c r="D897" t="str">
        <f t="shared" si="26"/>
        <v>Normal</v>
      </c>
    </row>
    <row r="898" spans="1:4" x14ac:dyDescent="0.25">
      <c r="A898">
        <v>124447</v>
      </c>
      <c r="C898">
        <f t="shared" si="27"/>
        <v>1.9535456086169958</v>
      </c>
      <c r="D898" t="str">
        <f t="shared" ref="D898:D961" si="28">IF(ABS(C898) &gt; 2.5, "Outlier", "Normal")</f>
        <v>Normal</v>
      </c>
    </row>
    <row r="899" spans="1:4" x14ac:dyDescent="0.25">
      <c r="A899">
        <v>126154</v>
      </c>
      <c r="C899">
        <f t="shared" ref="C899:C962" si="29">(A899 - $B$5) / $B$7</f>
        <v>2.008051620412544</v>
      </c>
      <c r="D899" t="str">
        <f t="shared" si="28"/>
        <v>Normal</v>
      </c>
    </row>
    <row r="900" spans="1:4" x14ac:dyDescent="0.25">
      <c r="A900">
        <v>47147</v>
      </c>
      <c r="C900">
        <f t="shared" si="29"/>
        <v>-0.51471139887912909</v>
      </c>
      <c r="D900" t="str">
        <f t="shared" si="28"/>
        <v>Normal</v>
      </c>
    </row>
    <row r="901" spans="1:4" x14ac:dyDescent="0.25">
      <c r="A901">
        <v>75671</v>
      </c>
      <c r="C901">
        <f t="shared" si="29"/>
        <v>0.39608501615087693</v>
      </c>
      <c r="D901" t="str">
        <f t="shared" si="28"/>
        <v>Normal</v>
      </c>
    </row>
    <row r="902" spans="1:4" x14ac:dyDescent="0.25">
      <c r="A902">
        <v>61956</v>
      </c>
      <c r="C902">
        <f t="shared" si="29"/>
        <v>-4.1847000120912858E-2</v>
      </c>
      <c r="D902" t="str">
        <f t="shared" si="28"/>
        <v>Normal</v>
      </c>
    </row>
    <row r="903" spans="1:4" x14ac:dyDescent="0.25">
      <c r="A903">
        <v>77075</v>
      </c>
      <c r="C903">
        <f t="shared" si="29"/>
        <v>0.44091597137111704</v>
      </c>
      <c r="D903" t="str">
        <f t="shared" si="28"/>
        <v>Normal</v>
      </c>
    </row>
    <row r="904" spans="1:4" x14ac:dyDescent="0.25">
      <c r="A904">
        <v>139316</v>
      </c>
      <c r="C904">
        <f t="shared" si="29"/>
        <v>2.4283258601624014</v>
      </c>
      <c r="D904" t="str">
        <f t="shared" si="28"/>
        <v>Normal</v>
      </c>
    </row>
    <row r="905" spans="1:4" x14ac:dyDescent="0.25">
      <c r="A905">
        <v>89512</v>
      </c>
      <c r="C905">
        <f t="shared" si="29"/>
        <v>0.83804032327576528</v>
      </c>
      <c r="D905" t="str">
        <f t="shared" si="28"/>
        <v>Normal</v>
      </c>
    </row>
    <row r="906" spans="1:4" x14ac:dyDescent="0.25">
      <c r="A906">
        <v>151316</v>
      </c>
      <c r="C906">
        <f t="shared" si="29"/>
        <v>2.8114964176003512</v>
      </c>
      <c r="D906" t="str">
        <f t="shared" si="28"/>
        <v>Outlier</v>
      </c>
    </row>
    <row r="907" spans="1:4" x14ac:dyDescent="0.25">
      <c r="A907">
        <v>51708</v>
      </c>
      <c r="C907">
        <f t="shared" si="29"/>
        <v>-0.36907465617292173</v>
      </c>
      <c r="D907" t="str">
        <f t="shared" si="28"/>
        <v>Normal</v>
      </c>
    </row>
    <row r="908" spans="1:4" x14ac:dyDescent="0.25">
      <c r="A908">
        <v>110321</v>
      </c>
      <c r="C908">
        <f t="shared" si="29"/>
        <v>1.5024900007529562</v>
      </c>
      <c r="D908" t="str">
        <f t="shared" si="28"/>
        <v>Normal</v>
      </c>
    </row>
    <row r="909" spans="1:4" x14ac:dyDescent="0.25">
      <c r="A909">
        <v>121484</v>
      </c>
      <c r="C909">
        <f t="shared" si="29"/>
        <v>1.8589344118096087</v>
      </c>
      <c r="D909" t="str">
        <f t="shared" si="28"/>
        <v>Normal</v>
      </c>
    </row>
    <row r="910" spans="1:4" x14ac:dyDescent="0.25">
      <c r="A910">
        <v>60711</v>
      </c>
      <c r="C910">
        <f t="shared" si="29"/>
        <v>-8.1600945455100118E-2</v>
      </c>
      <c r="D910" t="str">
        <f t="shared" si="28"/>
        <v>Normal</v>
      </c>
    </row>
    <row r="911" spans="1:4" x14ac:dyDescent="0.25">
      <c r="A911">
        <v>61370</v>
      </c>
      <c r="C911">
        <f t="shared" si="29"/>
        <v>-6.0558495675799393E-2</v>
      </c>
      <c r="D911" t="str">
        <f t="shared" si="28"/>
        <v>Normal</v>
      </c>
    </row>
    <row r="912" spans="1:4" x14ac:dyDescent="0.25">
      <c r="A912">
        <v>56696</v>
      </c>
      <c r="C912">
        <f t="shared" si="29"/>
        <v>-0.20980342779788072</v>
      </c>
      <c r="D912" t="str">
        <f t="shared" si="28"/>
        <v>Normal</v>
      </c>
    </row>
    <row r="913" spans="1:4" x14ac:dyDescent="0.25">
      <c r="A913">
        <v>105533</v>
      </c>
      <c r="C913">
        <f t="shared" si="29"/>
        <v>1.3496049483352144</v>
      </c>
      <c r="D913" t="str">
        <f t="shared" si="28"/>
        <v>Normal</v>
      </c>
    </row>
    <row r="914" spans="1:4" x14ac:dyDescent="0.25">
      <c r="A914">
        <v>66924</v>
      </c>
      <c r="C914">
        <f t="shared" si="29"/>
        <v>0.11678561065839825</v>
      </c>
      <c r="D914" t="str">
        <f t="shared" si="28"/>
        <v>Normal</v>
      </c>
    </row>
    <row r="915" spans="1:4" x14ac:dyDescent="0.25">
      <c r="A915">
        <v>120429</v>
      </c>
      <c r="C915">
        <f t="shared" si="29"/>
        <v>1.8252473336348556</v>
      </c>
      <c r="D915" t="str">
        <f t="shared" si="28"/>
        <v>Normal</v>
      </c>
    </row>
    <row r="916" spans="1:4" x14ac:dyDescent="0.25">
      <c r="A916">
        <v>79091</v>
      </c>
      <c r="C916">
        <f t="shared" si="29"/>
        <v>0.50528862502069261</v>
      </c>
      <c r="D916" t="str">
        <f t="shared" si="28"/>
        <v>Normal</v>
      </c>
    </row>
    <row r="917" spans="1:4" x14ac:dyDescent="0.25">
      <c r="A917">
        <v>74876</v>
      </c>
      <c r="C917">
        <f t="shared" si="29"/>
        <v>0.37069996672061278</v>
      </c>
      <c r="D917" t="str">
        <f t="shared" si="28"/>
        <v>Normal</v>
      </c>
    </row>
    <row r="918" spans="1:4" x14ac:dyDescent="0.25">
      <c r="A918">
        <v>36092</v>
      </c>
      <c r="C918">
        <f t="shared" si="29"/>
        <v>-0.86770727491884003</v>
      </c>
      <c r="D918" t="str">
        <f t="shared" si="28"/>
        <v>Normal</v>
      </c>
    </row>
    <row r="919" spans="1:4" x14ac:dyDescent="0.25">
      <c r="A919">
        <v>27154</v>
      </c>
      <c r="C919">
        <f t="shared" si="29"/>
        <v>-1.1531054784505395</v>
      </c>
      <c r="D919" t="str">
        <f t="shared" si="28"/>
        <v>Normal</v>
      </c>
    </row>
    <row r="920" spans="1:4" x14ac:dyDescent="0.25">
      <c r="A920">
        <v>69874</v>
      </c>
      <c r="C920">
        <f t="shared" si="29"/>
        <v>0.21098170602856084</v>
      </c>
      <c r="D920" t="str">
        <f t="shared" si="28"/>
        <v>Normal</v>
      </c>
    </row>
    <row r="921" spans="1:4" x14ac:dyDescent="0.25">
      <c r="A921">
        <v>153397</v>
      </c>
      <c r="C921">
        <f t="shared" si="29"/>
        <v>2.8779445784360487</v>
      </c>
      <c r="D921" t="str">
        <f t="shared" si="28"/>
        <v>Outlier</v>
      </c>
    </row>
    <row r="922" spans="1:4" x14ac:dyDescent="0.25">
      <c r="A922">
        <v>59351</v>
      </c>
      <c r="C922">
        <f t="shared" si="29"/>
        <v>-0.12502694196473441</v>
      </c>
      <c r="D922" t="str">
        <f t="shared" si="28"/>
        <v>Normal</v>
      </c>
    </row>
    <row r="923" spans="1:4" x14ac:dyDescent="0.25">
      <c r="A923">
        <v>65792</v>
      </c>
      <c r="C923">
        <f t="shared" si="29"/>
        <v>8.0639854740085004E-2</v>
      </c>
      <c r="D923" t="str">
        <f t="shared" si="28"/>
        <v>Normal</v>
      </c>
    </row>
    <row r="924" spans="1:4" x14ac:dyDescent="0.25">
      <c r="A924">
        <v>34462</v>
      </c>
      <c r="C924">
        <f t="shared" si="29"/>
        <v>-0.91975460897082817</v>
      </c>
      <c r="D924" t="str">
        <f t="shared" si="28"/>
        <v>Normal</v>
      </c>
    </row>
    <row r="925" spans="1:4" x14ac:dyDescent="0.25">
      <c r="A925">
        <v>121940</v>
      </c>
      <c r="C925">
        <f t="shared" si="29"/>
        <v>1.8734948929922508</v>
      </c>
      <c r="D925" t="str">
        <f t="shared" si="28"/>
        <v>Normal</v>
      </c>
    </row>
    <row r="926" spans="1:4" x14ac:dyDescent="0.25">
      <c r="A926">
        <v>94161</v>
      </c>
      <c r="C926">
        <f t="shared" si="29"/>
        <v>0.98648698340318419</v>
      </c>
      <c r="D926" t="str">
        <f t="shared" si="28"/>
        <v>Normal</v>
      </c>
    </row>
    <row r="927" spans="1:4" x14ac:dyDescent="0.25">
      <c r="A927">
        <v>62574</v>
      </c>
      <c r="C927">
        <f t="shared" si="29"/>
        <v>-2.2113716412858454E-2</v>
      </c>
      <c r="D927" t="str">
        <f t="shared" si="28"/>
        <v>Normal</v>
      </c>
    </row>
    <row r="928" spans="1:4" x14ac:dyDescent="0.25">
      <c r="A928">
        <v>135990</v>
      </c>
      <c r="C928">
        <f t="shared" si="29"/>
        <v>2.3221237539925164</v>
      </c>
      <c r="D928" t="str">
        <f t="shared" si="28"/>
        <v>Normal</v>
      </c>
    </row>
    <row r="929" spans="1:4" x14ac:dyDescent="0.25">
      <c r="A929">
        <v>29384</v>
      </c>
      <c r="C929">
        <f t="shared" si="29"/>
        <v>-1.0818996165266539</v>
      </c>
      <c r="D929" t="str">
        <f t="shared" si="28"/>
        <v>Normal</v>
      </c>
    </row>
    <row r="930" spans="1:4" x14ac:dyDescent="0.25">
      <c r="A930">
        <v>102722</v>
      </c>
      <c r="C930">
        <f t="shared" si="29"/>
        <v>1.2598472452553746</v>
      </c>
      <c r="D930" t="str">
        <f t="shared" si="28"/>
        <v>Normal</v>
      </c>
    </row>
    <row r="931" spans="1:4" x14ac:dyDescent="0.25">
      <c r="A931">
        <v>131344</v>
      </c>
      <c r="C931">
        <f t="shared" si="29"/>
        <v>2.173772886504457</v>
      </c>
      <c r="D931" t="str">
        <f t="shared" si="28"/>
        <v>Normal</v>
      </c>
    </row>
    <row r="932" spans="1:4" x14ac:dyDescent="0.25">
      <c r="A932">
        <v>125397</v>
      </c>
      <c r="C932">
        <f t="shared" si="29"/>
        <v>1.9838799444141668</v>
      </c>
      <c r="D932" t="str">
        <f t="shared" si="28"/>
        <v>Normal</v>
      </c>
    </row>
    <row r="933" spans="1:4" x14ac:dyDescent="0.25">
      <c r="A933">
        <v>84161</v>
      </c>
      <c r="C933">
        <f t="shared" si="29"/>
        <v>0.66717818553822628</v>
      </c>
      <c r="D933" t="str">
        <f t="shared" si="28"/>
        <v>Normal</v>
      </c>
    </row>
    <row r="934" spans="1:4" x14ac:dyDescent="0.25">
      <c r="A934">
        <v>90205</v>
      </c>
      <c r="C934">
        <f t="shared" si="29"/>
        <v>0.86016842296780682</v>
      </c>
      <c r="D934" t="str">
        <f t="shared" si="28"/>
        <v>Normal</v>
      </c>
    </row>
    <row r="935" spans="1:4" x14ac:dyDescent="0.25">
      <c r="A935">
        <v>94459</v>
      </c>
      <c r="C935">
        <f t="shared" si="29"/>
        <v>0.99600238557955989</v>
      </c>
      <c r="D935" t="str">
        <f t="shared" si="28"/>
        <v>Normal</v>
      </c>
    </row>
    <row r="936" spans="1:4" x14ac:dyDescent="0.25">
      <c r="A936">
        <v>78190</v>
      </c>
      <c r="C936">
        <f t="shared" si="29"/>
        <v>0.47651890233305988</v>
      </c>
      <c r="D936" t="str">
        <f t="shared" si="28"/>
        <v>Normal</v>
      </c>
    </row>
    <row r="937" spans="1:4" x14ac:dyDescent="0.25">
      <c r="A937">
        <v>112909</v>
      </c>
      <c r="C937">
        <f t="shared" si="29"/>
        <v>1.5851271176404074</v>
      </c>
      <c r="D937" t="str">
        <f t="shared" si="28"/>
        <v>Normal</v>
      </c>
    </row>
    <row r="938" spans="1:4" x14ac:dyDescent="0.25">
      <c r="A938">
        <v>40895</v>
      </c>
      <c r="C938">
        <f t="shared" si="29"/>
        <v>-0.71434325930430076</v>
      </c>
      <c r="D938" t="str">
        <f t="shared" si="28"/>
        <v>Normal</v>
      </c>
    </row>
    <row r="939" spans="1:4" x14ac:dyDescent="0.25">
      <c r="A939">
        <v>23206</v>
      </c>
      <c r="C939">
        <f t="shared" si="29"/>
        <v>-1.2791685918476248</v>
      </c>
      <c r="D939" t="str">
        <f t="shared" si="28"/>
        <v>Normal</v>
      </c>
    </row>
    <row r="940" spans="1:4" x14ac:dyDescent="0.25">
      <c r="A940">
        <v>76664</v>
      </c>
      <c r="C940">
        <f t="shared" si="29"/>
        <v>0.4277923797788673</v>
      </c>
      <c r="D940" t="str">
        <f t="shared" si="28"/>
        <v>Normal</v>
      </c>
    </row>
    <row r="941" spans="1:4" x14ac:dyDescent="0.25">
      <c r="A941">
        <v>123034</v>
      </c>
      <c r="C941">
        <f t="shared" si="29"/>
        <v>1.9084272754786773</v>
      </c>
      <c r="D941" t="str">
        <f t="shared" si="28"/>
        <v>Normal</v>
      </c>
    </row>
    <row r="942" spans="1:4" x14ac:dyDescent="0.25">
      <c r="A942">
        <v>103163</v>
      </c>
      <c r="C942">
        <f t="shared" si="29"/>
        <v>1.2739287632412193</v>
      </c>
      <c r="D942" t="str">
        <f t="shared" si="28"/>
        <v>Normal</v>
      </c>
    </row>
    <row r="943" spans="1:4" x14ac:dyDescent="0.25">
      <c r="A943">
        <v>105188</v>
      </c>
      <c r="C943">
        <f t="shared" si="29"/>
        <v>1.3385887948088733</v>
      </c>
      <c r="D943" t="str">
        <f t="shared" si="28"/>
        <v>Normal</v>
      </c>
    </row>
    <row r="944" spans="1:4" x14ac:dyDescent="0.25">
      <c r="A944">
        <v>35423</v>
      </c>
      <c r="C944">
        <f t="shared" si="29"/>
        <v>-0.88906903349600575</v>
      </c>
      <c r="D944" t="str">
        <f t="shared" si="28"/>
        <v>Normal</v>
      </c>
    </row>
    <row r="945" spans="1:4" x14ac:dyDescent="0.25">
      <c r="A945">
        <v>109498</v>
      </c>
      <c r="C945">
        <f t="shared" si="29"/>
        <v>1.4762108866886701</v>
      </c>
      <c r="D945" t="str">
        <f t="shared" si="28"/>
        <v>Normal</v>
      </c>
    </row>
    <row r="946" spans="1:4" x14ac:dyDescent="0.25">
      <c r="A946">
        <v>25825</v>
      </c>
      <c r="C946">
        <f t="shared" si="29"/>
        <v>-1.1955416176867923</v>
      </c>
      <c r="D946" t="str">
        <f t="shared" si="28"/>
        <v>Normal</v>
      </c>
    </row>
    <row r="947" spans="1:4" x14ac:dyDescent="0.25">
      <c r="A947">
        <v>53633</v>
      </c>
      <c r="C947">
        <f t="shared" si="29"/>
        <v>-0.30760771258391734</v>
      </c>
      <c r="D947" t="str">
        <f t="shared" si="28"/>
        <v>Normal</v>
      </c>
    </row>
    <row r="948" spans="1:4" x14ac:dyDescent="0.25">
      <c r="A948">
        <v>35074</v>
      </c>
      <c r="C948">
        <f t="shared" si="29"/>
        <v>-0.90021291054149277</v>
      </c>
      <c r="D948" t="str">
        <f t="shared" si="28"/>
        <v>Normal</v>
      </c>
    </row>
    <row r="949" spans="1:4" x14ac:dyDescent="0.25">
      <c r="A949">
        <v>101301</v>
      </c>
      <c r="C949">
        <f t="shared" si="29"/>
        <v>1.2144734650787641</v>
      </c>
      <c r="D949" t="str">
        <f t="shared" si="28"/>
        <v>Normal</v>
      </c>
    </row>
    <row r="950" spans="1:4" x14ac:dyDescent="0.25">
      <c r="A950">
        <v>157355</v>
      </c>
      <c r="C950">
        <f t="shared" si="29"/>
        <v>3.0043270006309992</v>
      </c>
      <c r="D950" t="str">
        <f t="shared" si="28"/>
        <v>Outlier</v>
      </c>
    </row>
    <row r="951" spans="1:4" x14ac:dyDescent="0.25">
      <c r="A951">
        <v>126861</v>
      </c>
      <c r="C951">
        <f t="shared" si="29"/>
        <v>2.0306267524215968</v>
      </c>
      <c r="D951" t="str">
        <f t="shared" si="28"/>
        <v>Normal</v>
      </c>
    </row>
    <row r="952" spans="1:4" x14ac:dyDescent="0.25">
      <c r="A952">
        <v>29277</v>
      </c>
      <c r="C952">
        <f t="shared" si="29"/>
        <v>-1.085316220663809</v>
      </c>
      <c r="D952" t="str">
        <f t="shared" si="28"/>
        <v>Normal</v>
      </c>
    </row>
    <row r="953" spans="1:4" x14ac:dyDescent="0.25">
      <c r="A953">
        <v>115830</v>
      </c>
      <c r="C953">
        <f t="shared" si="29"/>
        <v>1.6783972174967616</v>
      </c>
      <c r="D953" t="str">
        <f t="shared" si="28"/>
        <v>Normal</v>
      </c>
    </row>
    <row r="954" spans="1:4" x14ac:dyDescent="0.25">
      <c r="A954">
        <v>113074</v>
      </c>
      <c r="C954">
        <f t="shared" si="29"/>
        <v>1.5903957128051791</v>
      </c>
      <c r="D954" t="str">
        <f t="shared" si="28"/>
        <v>Normal</v>
      </c>
    </row>
    <row r="955" spans="1:4" x14ac:dyDescent="0.25">
      <c r="A955">
        <v>87619</v>
      </c>
      <c r="C955">
        <f t="shared" si="29"/>
        <v>0.77759516783992866</v>
      </c>
      <c r="D955" t="str">
        <f t="shared" si="28"/>
        <v>Normal</v>
      </c>
    </row>
    <row r="956" spans="1:4" x14ac:dyDescent="0.25">
      <c r="A956">
        <v>127101</v>
      </c>
      <c r="C956">
        <f t="shared" si="29"/>
        <v>2.0382901635703554</v>
      </c>
      <c r="D956" t="str">
        <f t="shared" si="28"/>
        <v>Normal</v>
      </c>
    </row>
    <row r="957" spans="1:4" x14ac:dyDescent="0.25">
      <c r="A957">
        <v>40733</v>
      </c>
      <c r="C957">
        <f t="shared" si="29"/>
        <v>-0.71951606182971306</v>
      </c>
      <c r="D957" t="str">
        <f t="shared" si="28"/>
        <v>Normal</v>
      </c>
    </row>
    <row r="958" spans="1:4" x14ac:dyDescent="0.25">
      <c r="A958">
        <v>152964</v>
      </c>
      <c r="C958">
        <f t="shared" si="29"/>
        <v>2.8641185074884961</v>
      </c>
      <c r="D958" t="str">
        <f t="shared" si="28"/>
        <v>Outlier</v>
      </c>
    </row>
    <row r="959" spans="1:4" x14ac:dyDescent="0.25">
      <c r="A959">
        <v>45702</v>
      </c>
      <c r="C959">
        <f t="shared" si="29"/>
        <v>-0.56085152017061546</v>
      </c>
      <c r="D959" t="str">
        <f t="shared" si="28"/>
        <v>Normal</v>
      </c>
    </row>
    <row r="960" spans="1:4" x14ac:dyDescent="0.25">
      <c r="A960">
        <v>37909</v>
      </c>
      <c r="C960">
        <f t="shared" si="29"/>
        <v>-0.80968886634677717</v>
      </c>
      <c r="D960" t="str">
        <f t="shared" si="28"/>
        <v>Normal</v>
      </c>
    </row>
    <row r="961" spans="1:4" x14ac:dyDescent="0.25">
      <c r="A961">
        <v>62282</v>
      </c>
      <c r="C961">
        <f t="shared" si="29"/>
        <v>-3.1437533310515228E-2</v>
      </c>
      <c r="D961" t="str">
        <f t="shared" si="28"/>
        <v>Normal</v>
      </c>
    </row>
    <row r="962" spans="1:4" x14ac:dyDescent="0.25">
      <c r="A962">
        <v>158734</v>
      </c>
      <c r="C962">
        <f t="shared" si="29"/>
        <v>3.0483596838565767</v>
      </c>
      <c r="D962" t="str">
        <f t="shared" ref="D962:D1000" si="30">IF(ABS(C962) &gt; 2.5, "Outlier", "Normal")</f>
        <v>Outlier</v>
      </c>
    </row>
    <row r="963" spans="1:4" x14ac:dyDescent="0.25">
      <c r="A963">
        <v>108343</v>
      </c>
      <c r="C963">
        <f t="shared" ref="C963:C1000" si="31">(A963 - $B$5) / $B$7</f>
        <v>1.4393307205352674</v>
      </c>
      <c r="D963" t="str">
        <f t="shared" si="30"/>
        <v>Normal</v>
      </c>
    </row>
    <row r="964" spans="1:4" x14ac:dyDescent="0.25">
      <c r="A964">
        <v>131682</v>
      </c>
      <c r="C964">
        <f t="shared" si="31"/>
        <v>2.1845655238722927</v>
      </c>
      <c r="D964" t="str">
        <f t="shared" si="30"/>
        <v>Normal</v>
      </c>
    </row>
    <row r="965" spans="1:4" x14ac:dyDescent="0.25">
      <c r="A965">
        <v>36265</v>
      </c>
      <c r="C965">
        <f t="shared" si="31"/>
        <v>-0.86218323271577624</v>
      </c>
      <c r="D965" t="str">
        <f t="shared" si="30"/>
        <v>Normal</v>
      </c>
    </row>
    <row r="966" spans="1:4" x14ac:dyDescent="0.25">
      <c r="A966">
        <v>40238</v>
      </c>
      <c r="C966">
        <f t="shared" si="31"/>
        <v>-0.7353218473240285</v>
      </c>
      <c r="D966" t="str">
        <f t="shared" si="30"/>
        <v>Normal</v>
      </c>
    </row>
    <row r="967" spans="1:4" x14ac:dyDescent="0.25">
      <c r="A967">
        <v>99211</v>
      </c>
      <c r="C967">
        <f t="shared" si="31"/>
        <v>1.1477379263249878</v>
      </c>
      <c r="D967" t="str">
        <f t="shared" si="30"/>
        <v>Normal</v>
      </c>
    </row>
    <row r="968" spans="1:4" x14ac:dyDescent="0.25">
      <c r="A968">
        <v>109586</v>
      </c>
      <c r="C968">
        <f t="shared" si="31"/>
        <v>1.4790208041098818</v>
      </c>
      <c r="D968" t="str">
        <f t="shared" si="30"/>
        <v>Normal</v>
      </c>
    </row>
    <row r="969" spans="1:4" x14ac:dyDescent="0.25">
      <c r="A969">
        <v>44392</v>
      </c>
      <c r="C969">
        <f t="shared" si="31"/>
        <v>-0.60268097269092502</v>
      </c>
      <c r="D969" t="str">
        <f t="shared" si="30"/>
        <v>Normal</v>
      </c>
    </row>
    <row r="970" spans="1:4" x14ac:dyDescent="0.25">
      <c r="A970">
        <v>139394</v>
      </c>
      <c r="C970">
        <f t="shared" si="31"/>
        <v>2.4308164687857481</v>
      </c>
      <c r="D970" t="str">
        <f t="shared" si="30"/>
        <v>Normal</v>
      </c>
    </row>
    <row r="971" spans="1:4" x14ac:dyDescent="0.25">
      <c r="A971">
        <v>119596</v>
      </c>
      <c r="C971">
        <f t="shared" si="31"/>
        <v>1.7986489107727046</v>
      </c>
      <c r="D971" t="str">
        <f t="shared" si="30"/>
        <v>Normal</v>
      </c>
    </row>
    <row r="972" spans="1:4" x14ac:dyDescent="0.25">
      <c r="A972">
        <v>30495</v>
      </c>
      <c r="C972">
        <f t="shared" si="31"/>
        <v>-1.046424409083857</v>
      </c>
      <c r="D972" t="str">
        <f t="shared" si="30"/>
        <v>Normal</v>
      </c>
    </row>
    <row r="973" spans="1:4" x14ac:dyDescent="0.25">
      <c r="A973">
        <v>39867</v>
      </c>
      <c r="C973">
        <f t="shared" si="31"/>
        <v>-0.7471682037248184</v>
      </c>
      <c r="D973" t="str">
        <f t="shared" si="30"/>
        <v>Normal</v>
      </c>
    </row>
    <row r="974" spans="1:4" x14ac:dyDescent="0.25">
      <c r="A974">
        <v>123372</v>
      </c>
      <c r="C974">
        <f t="shared" si="31"/>
        <v>1.9192199128465128</v>
      </c>
      <c r="D974" t="str">
        <f t="shared" si="30"/>
        <v>Normal</v>
      </c>
    </row>
    <row r="975" spans="1:4" x14ac:dyDescent="0.25">
      <c r="A975">
        <v>64784</v>
      </c>
      <c r="C975">
        <f t="shared" si="31"/>
        <v>4.8453527915297251E-2</v>
      </c>
      <c r="D975" t="str">
        <f t="shared" si="30"/>
        <v>Normal</v>
      </c>
    </row>
    <row r="976" spans="1:4" x14ac:dyDescent="0.25">
      <c r="A976">
        <v>62767</v>
      </c>
      <c r="C976">
        <f t="shared" si="31"/>
        <v>-1.5951056614064766E-2</v>
      </c>
      <c r="D976" t="str">
        <f t="shared" si="30"/>
        <v>Normal</v>
      </c>
    </row>
    <row r="977" spans="1:4" x14ac:dyDescent="0.25">
      <c r="A977">
        <v>126129</v>
      </c>
      <c r="C977">
        <f t="shared" si="31"/>
        <v>2.0072533484178816</v>
      </c>
      <c r="D977" t="str">
        <f t="shared" si="30"/>
        <v>Normal</v>
      </c>
    </row>
    <row r="978" spans="1:4" x14ac:dyDescent="0.25">
      <c r="A978">
        <v>40474</v>
      </c>
      <c r="C978">
        <f t="shared" si="31"/>
        <v>-0.72778615969441551</v>
      </c>
      <c r="D978" t="str">
        <f t="shared" si="30"/>
        <v>Normal</v>
      </c>
    </row>
    <row r="979" spans="1:4" x14ac:dyDescent="0.25">
      <c r="A979">
        <v>113360</v>
      </c>
      <c r="C979">
        <f t="shared" si="31"/>
        <v>1.5995279444241168</v>
      </c>
      <c r="D979" t="str">
        <f t="shared" si="30"/>
        <v>Normal</v>
      </c>
    </row>
    <row r="980" spans="1:4" x14ac:dyDescent="0.25">
      <c r="A980">
        <v>64756</v>
      </c>
      <c r="C980">
        <f t="shared" si="31"/>
        <v>4.7559463281275367E-2</v>
      </c>
      <c r="D980" t="str">
        <f t="shared" si="30"/>
        <v>Normal</v>
      </c>
    </row>
    <row r="981" spans="1:4" x14ac:dyDescent="0.25">
      <c r="A981">
        <v>25363</v>
      </c>
      <c r="C981">
        <f t="shared" si="31"/>
        <v>-1.2102936841481535</v>
      </c>
      <c r="D981" t="str">
        <f t="shared" si="30"/>
        <v>Normal</v>
      </c>
    </row>
    <row r="982" spans="1:4" x14ac:dyDescent="0.25">
      <c r="A982">
        <v>111887</v>
      </c>
      <c r="C982">
        <f t="shared" si="31"/>
        <v>1.5524937584986087</v>
      </c>
      <c r="D982" t="str">
        <f t="shared" si="30"/>
        <v>Normal</v>
      </c>
    </row>
    <row r="983" spans="1:4" x14ac:dyDescent="0.25">
      <c r="A983">
        <v>66723</v>
      </c>
      <c r="C983">
        <f t="shared" si="31"/>
        <v>0.11036750382131259</v>
      </c>
      <c r="D983" t="str">
        <f t="shared" si="30"/>
        <v>Normal</v>
      </c>
    </row>
    <row r="984" spans="1:4" x14ac:dyDescent="0.25">
      <c r="A984">
        <v>142369</v>
      </c>
      <c r="C984">
        <f t="shared" si="31"/>
        <v>2.5258108361505731</v>
      </c>
      <c r="D984" t="str">
        <f t="shared" si="30"/>
        <v>Outlier</v>
      </c>
    </row>
    <row r="985" spans="1:4" x14ac:dyDescent="0.25">
      <c r="A985">
        <v>33005</v>
      </c>
      <c r="C985">
        <f t="shared" si="31"/>
        <v>-0.96627790081975262</v>
      </c>
      <c r="D985" t="str">
        <f t="shared" si="30"/>
        <v>Normal</v>
      </c>
    </row>
    <row r="986" spans="1:4" x14ac:dyDescent="0.25">
      <c r="A986">
        <v>44876</v>
      </c>
      <c r="C986">
        <f t="shared" si="31"/>
        <v>-0.58722642687426096</v>
      </c>
      <c r="D986" t="str">
        <f t="shared" si="30"/>
        <v>Normal</v>
      </c>
    </row>
    <row r="987" spans="1:4" x14ac:dyDescent="0.25">
      <c r="A987">
        <v>135054</v>
      </c>
      <c r="C987">
        <f t="shared" si="31"/>
        <v>2.2922364505123562</v>
      </c>
      <c r="D987" t="str">
        <f t="shared" si="30"/>
        <v>Normal</v>
      </c>
    </row>
    <row r="988" spans="1:4" x14ac:dyDescent="0.25">
      <c r="A988">
        <v>91847</v>
      </c>
      <c r="C988">
        <f t="shared" si="31"/>
        <v>0.91259892757723293</v>
      </c>
      <c r="D988" t="str">
        <f t="shared" si="30"/>
        <v>Normal</v>
      </c>
    </row>
    <row r="989" spans="1:4" x14ac:dyDescent="0.25">
      <c r="A989">
        <v>100827</v>
      </c>
      <c r="C989">
        <f t="shared" si="31"/>
        <v>1.1993382280599652</v>
      </c>
      <c r="D989" t="str">
        <f t="shared" si="30"/>
        <v>Normal</v>
      </c>
    </row>
    <row r="990" spans="1:4" x14ac:dyDescent="0.25">
      <c r="A990">
        <v>79507</v>
      </c>
      <c r="C990">
        <f t="shared" si="31"/>
        <v>0.51857187101187485</v>
      </c>
      <c r="D990" t="str">
        <f t="shared" si="30"/>
        <v>Normal</v>
      </c>
    </row>
    <row r="991" spans="1:4" x14ac:dyDescent="0.25">
      <c r="A991">
        <v>105607</v>
      </c>
      <c r="C991">
        <f t="shared" si="31"/>
        <v>1.351967833439415</v>
      </c>
      <c r="D991" t="str">
        <f t="shared" si="30"/>
        <v>Normal</v>
      </c>
    </row>
    <row r="992" spans="1:4" x14ac:dyDescent="0.25">
      <c r="A992">
        <v>82839</v>
      </c>
      <c r="C992">
        <f t="shared" si="31"/>
        <v>0.62496556246047885</v>
      </c>
      <c r="D992" t="str">
        <f t="shared" si="30"/>
        <v>Normal</v>
      </c>
    </row>
    <row r="993" spans="1:4" x14ac:dyDescent="0.25">
      <c r="A993">
        <v>106349</v>
      </c>
      <c r="C993">
        <f t="shared" si="31"/>
        <v>1.375660546240995</v>
      </c>
      <c r="D993" t="str">
        <f t="shared" si="30"/>
        <v>Normal</v>
      </c>
    </row>
    <row r="994" spans="1:4" x14ac:dyDescent="0.25">
      <c r="A994">
        <v>123398</v>
      </c>
      <c r="C994">
        <f t="shared" si="31"/>
        <v>1.9200501157209617</v>
      </c>
      <c r="D994" t="str">
        <f t="shared" si="30"/>
        <v>Normal</v>
      </c>
    </row>
    <row r="995" spans="1:4" x14ac:dyDescent="0.25">
      <c r="A995">
        <v>110135</v>
      </c>
      <c r="C995">
        <f t="shared" si="31"/>
        <v>1.496550857112668</v>
      </c>
      <c r="D995" t="str">
        <f t="shared" si="30"/>
        <v>Normal</v>
      </c>
    </row>
    <row r="996" spans="1:4" x14ac:dyDescent="0.25">
      <c r="A996">
        <v>104283</v>
      </c>
      <c r="C996">
        <f t="shared" si="31"/>
        <v>1.3096913486020947</v>
      </c>
      <c r="D996" t="str">
        <f t="shared" si="30"/>
        <v>Normal</v>
      </c>
    </row>
    <row r="997" spans="1:4" x14ac:dyDescent="0.25">
      <c r="A997">
        <v>74645</v>
      </c>
      <c r="C997">
        <f t="shared" si="31"/>
        <v>0.36332393348993225</v>
      </c>
      <c r="D997" t="str">
        <f t="shared" si="30"/>
        <v>Normal</v>
      </c>
    </row>
    <row r="998" spans="1:4" x14ac:dyDescent="0.25">
      <c r="A998">
        <v>61591</v>
      </c>
      <c r="C998">
        <f t="shared" si="31"/>
        <v>-5.3501771242983824E-2</v>
      </c>
      <c r="D998" t="str">
        <f t="shared" si="30"/>
        <v>Normal</v>
      </c>
    </row>
    <row r="999" spans="1:4" x14ac:dyDescent="0.25">
      <c r="A999">
        <v>108944</v>
      </c>
      <c r="C999">
        <f t="shared" si="31"/>
        <v>1.4585211792869515</v>
      </c>
      <c r="D999" t="str">
        <f t="shared" si="30"/>
        <v>Normal</v>
      </c>
    </row>
    <row r="1000" spans="1:4" x14ac:dyDescent="0.25">
      <c r="A1000">
        <v>29068</v>
      </c>
      <c r="C1000">
        <f t="shared" si="31"/>
        <v>-1.0919897745391864</v>
      </c>
      <c r="D1000" t="str">
        <f t="shared" si="30"/>
        <v>Normal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0854B-1558-456F-B06D-7C8D35AF2B4D}">
  <dimension ref="A1:D1000"/>
  <sheetViews>
    <sheetView workbookViewId="0">
      <selection activeCell="A2" sqref="A2:A1000"/>
    </sheetView>
  </sheetViews>
  <sheetFormatPr defaultRowHeight="15" x14ac:dyDescent="0.25"/>
  <cols>
    <col min="1" max="1" width="34" customWidth="1"/>
    <col min="2" max="2" width="18.140625" customWidth="1"/>
    <col min="3" max="3" width="21.42578125" customWidth="1"/>
    <col min="4" max="4" width="16.42578125" customWidth="1"/>
    <col min="24" max="24" width="8" customWidth="1"/>
  </cols>
  <sheetData>
    <row r="1" spans="1:4" x14ac:dyDescent="0.25">
      <c r="A1" s="4" t="s">
        <v>2273</v>
      </c>
      <c r="C1" s="3" t="s">
        <v>2293</v>
      </c>
      <c r="D1" t="s">
        <v>2294</v>
      </c>
    </row>
    <row r="2" spans="1:4" x14ac:dyDescent="0.25">
      <c r="A2">
        <v>-3.64</v>
      </c>
      <c r="C2">
        <f>(A2 - $B$5) / $B$7</f>
        <v>-1.1271378303476993</v>
      </c>
      <c r="D2" t="str">
        <f>IF(ABS(C2) &gt; 2.5, "Outlier", "Normal")</f>
        <v>Normal</v>
      </c>
    </row>
    <row r="3" spans="1:4" x14ac:dyDescent="0.25">
      <c r="A3">
        <v>1.97</v>
      </c>
      <c r="C3">
        <f t="shared" ref="C3:C66" si="0">(A3 - $B$5) / $B$7</f>
        <v>-0.15988874715245352</v>
      </c>
      <c r="D3" t="str">
        <f t="shared" ref="D3:D66" si="1">IF(ABS(C3) &gt; 2.5, "Outlier", "Normal")</f>
        <v>Normal</v>
      </c>
    </row>
    <row r="4" spans="1:4" x14ac:dyDescent="0.25">
      <c r="A4">
        <v>-3.9</v>
      </c>
      <c r="B4" s="3" t="s">
        <v>2291</v>
      </c>
      <c r="C4">
        <f t="shared" si="0"/>
        <v>-1.1719657735973896</v>
      </c>
      <c r="D4" t="str">
        <f t="shared" si="1"/>
        <v>Normal</v>
      </c>
    </row>
    <row r="5" spans="1:4" x14ac:dyDescent="0.25">
      <c r="A5">
        <v>0.02</v>
      </c>
      <c r="B5">
        <f>AVERAGE(A2:A1000)</f>
        <v>2.8973473473473468</v>
      </c>
      <c r="C5">
        <f t="shared" si="0"/>
        <v>-0.4960983215251325</v>
      </c>
      <c r="D5" t="str">
        <f t="shared" si="1"/>
        <v>Normal</v>
      </c>
    </row>
    <row r="6" spans="1:4" x14ac:dyDescent="0.25">
      <c r="A6">
        <v>-0.21</v>
      </c>
      <c r="B6" s="3" t="s">
        <v>2292</v>
      </c>
      <c r="C6">
        <f t="shared" si="0"/>
        <v>-0.53575380978447407</v>
      </c>
      <c r="D6" t="str">
        <f t="shared" si="1"/>
        <v>Normal</v>
      </c>
    </row>
    <row r="7" spans="1:4" x14ac:dyDescent="0.25">
      <c r="A7">
        <v>4.29</v>
      </c>
      <c r="B7">
        <f>_xlfn.STDEV.P(A2:A1000)</f>
        <v>5.799953804523363</v>
      </c>
      <c r="C7">
        <f t="shared" si="0"/>
        <v>0.24011443876786198</v>
      </c>
      <c r="D7" t="str">
        <f t="shared" si="1"/>
        <v>Normal</v>
      </c>
    </row>
    <row r="8" spans="1:4" x14ac:dyDescent="0.25">
      <c r="A8">
        <v>4.05</v>
      </c>
      <c r="C8">
        <f t="shared" si="0"/>
        <v>0.1987347988450707</v>
      </c>
      <c r="D8" t="str">
        <f t="shared" si="1"/>
        <v>Normal</v>
      </c>
    </row>
    <row r="9" spans="1:4" x14ac:dyDescent="0.25">
      <c r="A9">
        <v>-3.5</v>
      </c>
      <c r="C9">
        <f t="shared" si="0"/>
        <v>-1.1029997070594044</v>
      </c>
      <c r="D9" t="str">
        <f t="shared" si="1"/>
        <v>Normal</v>
      </c>
    </row>
    <row r="10" spans="1:4" x14ac:dyDescent="0.25">
      <c r="A10">
        <v>-1.25</v>
      </c>
      <c r="C10">
        <f t="shared" si="0"/>
        <v>-0.71506558278323629</v>
      </c>
      <c r="D10" t="str">
        <f t="shared" si="1"/>
        <v>Normal</v>
      </c>
    </row>
    <row r="11" spans="1:4" x14ac:dyDescent="0.25">
      <c r="A11">
        <v>-4.25</v>
      </c>
      <c r="C11">
        <f t="shared" si="0"/>
        <v>-1.2323110818181271</v>
      </c>
      <c r="D11" t="str">
        <f t="shared" si="1"/>
        <v>Normal</v>
      </c>
    </row>
    <row r="12" spans="1:4" x14ac:dyDescent="0.25">
      <c r="A12">
        <v>3.04</v>
      </c>
      <c r="C12">
        <f t="shared" si="0"/>
        <v>2.459548083665752E-2</v>
      </c>
      <c r="D12" t="str">
        <f t="shared" si="1"/>
        <v>Normal</v>
      </c>
    </row>
    <row r="13" spans="1:4" x14ac:dyDescent="0.25">
      <c r="A13">
        <v>-2.4</v>
      </c>
      <c r="C13">
        <f t="shared" si="0"/>
        <v>-0.91334302407994439</v>
      </c>
      <c r="D13" t="str">
        <f t="shared" si="1"/>
        <v>Normal</v>
      </c>
    </row>
    <row r="14" spans="1:4" x14ac:dyDescent="0.25">
      <c r="A14">
        <v>3.74</v>
      </c>
      <c r="C14">
        <f t="shared" si="0"/>
        <v>0.14528609727813205</v>
      </c>
      <c r="D14" t="str">
        <f t="shared" si="1"/>
        <v>Normal</v>
      </c>
    </row>
    <row r="15" spans="1:4" x14ac:dyDescent="0.25">
      <c r="A15">
        <v>-1.39</v>
      </c>
      <c r="C15">
        <f t="shared" si="0"/>
        <v>-0.73920370607153119</v>
      </c>
      <c r="D15" t="str">
        <f t="shared" si="1"/>
        <v>Normal</v>
      </c>
    </row>
    <row r="16" spans="1:4" x14ac:dyDescent="0.25">
      <c r="A16">
        <v>0.95</v>
      </c>
      <c r="C16">
        <f t="shared" si="0"/>
        <v>-0.33575221682431639</v>
      </c>
      <c r="D16" t="str">
        <f t="shared" si="1"/>
        <v>Normal</v>
      </c>
    </row>
    <row r="17" spans="1:4" x14ac:dyDescent="0.25">
      <c r="A17">
        <v>-0.97</v>
      </c>
      <c r="C17">
        <f t="shared" si="0"/>
        <v>-0.66678933620664649</v>
      </c>
      <c r="D17" t="str">
        <f t="shared" si="1"/>
        <v>Normal</v>
      </c>
    </row>
    <row r="18" spans="1:4" x14ac:dyDescent="0.25">
      <c r="A18">
        <v>-3.26</v>
      </c>
      <c r="C18">
        <f t="shared" si="0"/>
        <v>-1.0616200671366132</v>
      </c>
      <c r="D18" t="str">
        <f t="shared" si="1"/>
        <v>Normal</v>
      </c>
    </row>
    <row r="19" spans="1:4" x14ac:dyDescent="0.25">
      <c r="A19">
        <v>4.51</v>
      </c>
      <c r="C19">
        <f t="shared" si="0"/>
        <v>0.27804577536375397</v>
      </c>
      <c r="D19" t="str">
        <f t="shared" si="1"/>
        <v>Normal</v>
      </c>
    </row>
    <row r="20" spans="1:4" x14ac:dyDescent="0.25">
      <c r="A20">
        <v>2.86</v>
      </c>
      <c r="C20">
        <f t="shared" si="0"/>
        <v>-6.439249105435951E-3</v>
      </c>
      <c r="D20" t="str">
        <f t="shared" si="1"/>
        <v>Normal</v>
      </c>
    </row>
    <row r="21" spans="1:4" x14ac:dyDescent="0.25">
      <c r="A21">
        <v>-1.0900000000000001</v>
      </c>
      <c r="C21">
        <f t="shared" si="0"/>
        <v>-0.68747915616804212</v>
      </c>
      <c r="D21" t="str">
        <f t="shared" si="1"/>
        <v>Normal</v>
      </c>
    </row>
    <row r="22" spans="1:4" x14ac:dyDescent="0.25">
      <c r="A22">
        <v>-4.6399999999999997</v>
      </c>
      <c r="C22">
        <f t="shared" si="0"/>
        <v>-1.2995529966926627</v>
      </c>
      <c r="D22" t="str">
        <f t="shared" si="1"/>
        <v>Normal</v>
      </c>
    </row>
    <row r="23" spans="1:4" x14ac:dyDescent="0.25">
      <c r="A23">
        <v>1.49</v>
      </c>
      <c r="C23">
        <f t="shared" si="0"/>
        <v>-0.24264802699803603</v>
      </c>
      <c r="D23" t="str">
        <f t="shared" si="1"/>
        <v>Normal</v>
      </c>
    </row>
    <row r="24" spans="1:4" x14ac:dyDescent="0.25">
      <c r="A24">
        <v>-1.65</v>
      </c>
      <c r="C24">
        <f t="shared" si="0"/>
        <v>-0.7840316493212216</v>
      </c>
      <c r="D24" t="str">
        <f t="shared" si="1"/>
        <v>Normal</v>
      </c>
    </row>
    <row r="25" spans="1:4" x14ac:dyDescent="0.25">
      <c r="A25">
        <v>3.99</v>
      </c>
      <c r="C25">
        <f t="shared" si="0"/>
        <v>0.18838988886437294</v>
      </c>
      <c r="D25" t="str">
        <f t="shared" si="1"/>
        <v>Normal</v>
      </c>
    </row>
    <row r="26" spans="1:4" x14ac:dyDescent="0.25">
      <c r="A26">
        <v>1.37</v>
      </c>
      <c r="C26">
        <f t="shared" si="0"/>
        <v>-0.26333784695943163</v>
      </c>
      <c r="D26" t="str">
        <f t="shared" si="1"/>
        <v>Normal</v>
      </c>
    </row>
    <row r="27" spans="1:4" x14ac:dyDescent="0.25">
      <c r="A27">
        <v>4.6500000000000004</v>
      </c>
      <c r="C27">
        <f t="shared" si="0"/>
        <v>0.30218389865204892</v>
      </c>
      <c r="D27" t="str">
        <f t="shared" si="1"/>
        <v>Normal</v>
      </c>
    </row>
    <row r="28" spans="1:4" x14ac:dyDescent="0.25">
      <c r="A28">
        <v>-3.21</v>
      </c>
      <c r="C28">
        <f t="shared" si="0"/>
        <v>-1.0529993088193648</v>
      </c>
      <c r="D28" t="str">
        <f t="shared" si="1"/>
        <v>Normal</v>
      </c>
    </row>
    <row r="29" spans="1:4" x14ac:dyDescent="0.25">
      <c r="A29">
        <v>3.75</v>
      </c>
      <c r="C29">
        <f t="shared" si="0"/>
        <v>0.14701024894158166</v>
      </c>
      <c r="D29" t="str">
        <f t="shared" si="1"/>
        <v>Normal</v>
      </c>
    </row>
    <row r="30" spans="1:4" x14ac:dyDescent="0.25">
      <c r="A30">
        <v>-1.01</v>
      </c>
      <c r="C30">
        <f t="shared" si="0"/>
        <v>-0.67368594286044503</v>
      </c>
      <c r="D30" t="str">
        <f t="shared" si="1"/>
        <v>Normal</v>
      </c>
    </row>
    <row r="31" spans="1:4" x14ac:dyDescent="0.25">
      <c r="A31">
        <v>-2.89</v>
      </c>
      <c r="C31">
        <f t="shared" si="0"/>
        <v>-0.99782645558897654</v>
      </c>
      <c r="D31" t="str">
        <f t="shared" si="1"/>
        <v>Normal</v>
      </c>
    </row>
    <row r="32" spans="1:4" x14ac:dyDescent="0.25">
      <c r="A32">
        <v>4.9000000000000004</v>
      </c>
      <c r="C32">
        <f t="shared" si="0"/>
        <v>0.34528769023828981</v>
      </c>
      <c r="D32" t="str">
        <f t="shared" si="1"/>
        <v>Normal</v>
      </c>
    </row>
    <row r="33" spans="1:4" x14ac:dyDescent="0.25">
      <c r="A33">
        <v>-0.28999999999999998</v>
      </c>
      <c r="C33">
        <f t="shared" si="0"/>
        <v>-0.54954702309207126</v>
      </c>
      <c r="D33" t="str">
        <f t="shared" si="1"/>
        <v>Normal</v>
      </c>
    </row>
    <row r="34" spans="1:4" x14ac:dyDescent="0.25">
      <c r="A34">
        <v>3.68</v>
      </c>
      <c r="C34">
        <f t="shared" si="0"/>
        <v>0.13494118729743423</v>
      </c>
      <c r="D34" t="str">
        <f t="shared" si="1"/>
        <v>Normal</v>
      </c>
    </row>
    <row r="35" spans="1:4" x14ac:dyDescent="0.25">
      <c r="A35">
        <v>0.63</v>
      </c>
      <c r="C35">
        <f t="shared" si="0"/>
        <v>-0.39092507005470473</v>
      </c>
      <c r="D35" t="str">
        <f t="shared" si="1"/>
        <v>Normal</v>
      </c>
    </row>
    <row r="36" spans="1:4" x14ac:dyDescent="0.25">
      <c r="A36">
        <v>-2.2200000000000002</v>
      </c>
      <c r="C36">
        <f t="shared" si="0"/>
        <v>-0.88230829413785095</v>
      </c>
      <c r="D36" t="str">
        <f t="shared" si="1"/>
        <v>Normal</v>
      </c>
    </row>
    <row r="37" spans="1:4" x14ac:dyDescent="0.25">
      <c r="A37">
        <v>-2.27</v>
      </c>
      <c r="C37">
        <f t="shared" si="0"/>
        <v>-0.89092905245509912</v>
      </c>
      <c r="D37" t="str">
        <f t="shared" si="1"/>
        <v>Normal</v>
      </c>
    </row>
    <row r="38" spans="1:4" x14ac:dyDescent="0.25">
      <c r="A38">
        <v>-1.1100000000000001</v>
      </c>
      <c r="C38">
        <f t="shared" si="0"/>
        <v>-0.69092745949494128</v>
      </c>
      <c r="D38" t="str">
        <f t="shared" si="1"/>
        <v>Normal</v>
      </c>
    </row>
    <row r="39" spans="1:4" x14ac:dyDescent="0.25">
      <c r="A39">
        <v>-4.46</v>
      </c>
      <c r="C39">
        <f t="shared" si="0"/>
        <v>-1.2685182667505692</v>
      </c>
      <c r="D39" t="str">
        <f t="shared" si="1"/>
        <v>Normal</v>
      </c>
    </row>
    <row r="40" spans="1:4" x14ac:dyDescent="0.25">
      <c r="A40">
        <v>0.8</v>
      </c>
      <c r="C40">
        <f t="shared" si="0"/>
        <v>-0.36161449177606086</v>
      </c>
      <c r="D40" t="str">
        <f t="shared" si="1"/>
        <v>Normal</v>
      </c>
    </row>
    <row r="41" spans="1:4" x14ac:dyDescent="0.25">
      <c r="A41">
        <v>-0.26</v>
      </c>
      <c r="C41">
        <f t="shared" si="0"/>
        <v>-0.54437456810172236</v>
      </c>
      <c r="D41" t="str">
        <f t="shared" si="1"/>
        <v>Normal</v>
      </c>
    </row>
    <row r="42" spans="1:4" x14ac:dyDescent="0.25">
      <c r="A42">
        <v>4.5</v>
      </c>
      <c r="C42">
        <f t="shared" si="0"/>
        <v>0.27632162370030433</v>
      </c>
      <c r="D42" t="str">
        <f t="shared" si="1"/>
        <v>Normal</v>
      </c>
    </row>
    <row r="43" spans="1:4" x14ac:dyDescent="0.25">
      <c r="A43">
        <v>3.56</v>
      </c>
      <c r="C43">
        <f t="shared" si="0"/>
        <v>0.11425136733603859</v>
      </c>
      <c r="D43" t="str">
        <f t="shared" si="1"/>
        <v>Normal</v>
      </c>
    </row>
    <row r="44" spans="1:4" x14ac:dyDescent="0.25">
      <c r="A44">
        <v>-1.27</v>
      </c>
      <c r="C44">
        <f t="shared" si="0"/>
        <v>-0.71851388611013556</v>
      </c>
      <c r="D44" t="str">
        <f t="shared" si="1"/>
        <v>Normal</v>
      </c>
    </row>
    <row r="45" spans="1:4" x14ac:dyDescent="0.25">
      <c r="A45">
        <v>0.11</v>
      </c>
      <c r="C45">
        <f t="shared" si="0"/>
        <v>-0.48058095655408578</v>
      </c>
      <c r="D45" t="str">
        <f t="shared" si="1"/>
        <v>Normal</v>
      </c>
    </row>
    <row r="46" spans="1:4" x14ac:dyDescent="0.25">
      <c r="A46">
        <v>0.21</v>
      </c>
      <c r="C46">
        <f t="shared" si="0"/>
        <v>-0.46333943991958942</v>
      </c>
      <c r="D46" t="str">
        <f t="shared" si="1"/>
        <v>Normal</v>
      </c>
    </row>
    <row r="47" spans="1:4" x14ac:dyDescent="0.25">
      <c r="A47">
        <v>-2.37</v>
      </c>
      <c r="C47">
        <f t="shared" si="0"/>
        <v>-0.90817056908959537</v>
      </c>
      <c r="D47" t="str">
        <f t="shared" si="1"/>
        <v>Normal</v>
      </c>
    </row>
    <row r="48" spans="1:4" x14ac:dyDescent="0.25">
      <c r="A48">
        <v>-4.96</v>
      </c>
      <c r="C48">
        <f t="shared" si="0"/>
        <v>-1.354725849923051</v>
      </c>
      <c r="D48" t="str">
        <f t="shared" si="1"/>
        <v>Normal</v>
      </c>
    </row>
    <row r="49" spans="1:4" x14ac:dyDescent="0.25">
      <c r="A49">
        <v>2.95</v>
      </c>
      <c r="C49">
        <f t="shared" si="0"/>
        <v>9.0781158656108238E-3</v>
      </c>
      <c r="D49" t="str">
        <f t="shared" si="1"/>
        <v>Normal</v>
      </c>
    </row>
    <row r="50" spans="1:4" x14ac:dyDescent="0.25">
      <c r="A50">
        <v>-2.23</v>
      </c>
      <c r="C50">
        <f t="shared" si="0"/>
        <v>-0.88403244580130058</v>
      </c>
      <c r="D50" t="str">
        <f t="shared" si="1"/>
        <v>Normal</v>
      </c>
    </row>
    <row r="51" spans="1:4" x14ac:dyDescent="0.25">
      <c r="A51">
        <v>4.5199999999999996</v>
      </c>
      <c r="C51">
        <f t="shared" si="0"/>
        <v>0.27976992702720355</v>
      </c>
      <c r="D51" t="str">
        <f t="shared" si="1"/>
        <v>Normal</v>
      </c>
    </row>
    <row r="52" spans="1:4" x14ac:dyDescent="0.25">
      <c r="A52">
        <v>1.23</v>
      </c>
      <c r="C52">
        <f t="shared" si="0"/>
        <v>-0.28747597024772659</v>
      </c>
      <c r="D52" t="str">
        <f t="shared" si="1"/>
        <v>Normal</v>
      </c>
    </row>
    <row r="53" spans="1:4" x14ac:dyDescent="0.25">
      <c r="A53">
        <v>4.22</v>
      </c>
      <c r="C53">
        <f t="shared" si="0"/>
        <v>0.2280453771237145</v>
      </c>
      <c r="D53" t="str">
        <f t="shared" si="1"/>
        <v>Normal</v>
      </c>
    </row>
    <row r="54" spans="1:4" x14ac:dyDescent="0.25">
      <c r="A54">
        <v>-3.39</v>
      </c>
      <c r="C54">
        <f t="shared" si="0"/>
        <v>-1.0840340387614584</v>
      </c>
      <c r="D54" t="str">
        <f t="shared" si="1"/>
        <v>Normal</v>
      </c>
    </row>
    <row r="55" spans="1:4" x14ac:dyDescent="0.25">
      <c r="A55">
        <v>-1.02</v>
      </c>
      <c r="C55">
        <f t="shared" si="0"/>
        <v>-0.67541009452389467</v>
      </c>
      <c r="D55" t="str">
        <f t="shared" si="1"/>
        <v>Normal</v>
      </c>
    </row>
    <row r="56" spans="1:4" x14ac:dyDescent="0.25">
      <c r="A56">
        <v>0.01</v>
      </c>
      <c r="C56">
        <f t="shared" si="0"/>
        <v>-0.49782247318858219</v>
      </c>
      <c r="D56" t="str">
        <f t="shared" si="1"/>
        <v>Normal</v>
      </c>
    </row>
    <row r="57" spans="1:4" x14ac:dyDescent="0.25">
      <c r="A57">
        <v>-4.6100000000000003</v>
      </c>
      <c r="C57">
        <f t="shared" si="0"/>
        <v>-1.2943805417023138</v>
      </c>
      <c r="D57" t="str">
        <f t="shared" si="1"/>
        <v>Normal</v>
      </c>
    </row>
    <row r="58" spans="1:4" x14ac:dyDescent="0.25">
      <c r="A58">
        <v>2.6</v>
      </c>
      <c r="C58">
        <f t="shared" si="0"/>
        <v>-5.1267192355126445E-2</v>
      </c>
      <c r="D58" t="str">
        <f t="shared" si="1"/>
        <v>Normal</v>
      </c>
    </row>
    <row r="59" spans="1:4" x14ac:dyDescent="0.25">
      <c r="A59">
        <v>-3.34</v>
      </c>
      <c r="C59">
        <f t="shared" si="0"/>
        <v>-1.0754132804442103</v>
      </c>
      <c r="D59" t="str">
        <f t="shared" si="1"/>
        <v>Normal</v>
      </c>
    </row>
    <row r="60" spans="1:4" x14ac:dyDescent="0.25">
      <c r="A60">
        <v>2.54</v>
      </c>
      <c r="C60">
        <f t="shared" si="0"/>
        <v>-6.1612102335824266E-2</v>
      </c>
      <c r="D60" t="str">
        <f t="shared" si="1"/>
        <v>Normal</v>
      </c>
    </row>
    <row r="61" spans="1:4" x14ac:dyDescent="0.25">
      <c r="A61">
        <v>1.85</v>
      </c>
      <c r="C61">
        <f t="shared" si="0"/>
        <v>-0.18057856711384912</v>
      </c>
      <c r="D61" t="str">
        <f t="shared" si="1"/>
        <v>Normal</v>
      </c>
    </row>
    <row r="62" spans="1:4" x14ac:dyDescent="0.25">
      <c r="A62">
        <v>-4.26</v>
      </c>
      <c r="C62">
        <f t="shared" si="0"/>
        <v>-1.2340352334815767</v>
      </c>
      <c r="D62" t="str">
        <f t="shared" si="1"/>
        <v>Normal</v>
      </c>
    </row>
    <row r="63" spans="1:4" x14ac:dyDescent="0.25">
      <c r="A63">
        <v>-3.51</v>
      </c>
      <c r="C63">
        <f t="shared" si="0"/>
        <v>-1.1047238587228541</v>
      </c>
      <c r="D63" t="str">
        <f t="shared" si="1"/>
        <v>Normal</v>
      </c>
    </row>
    <row r="64" spans="1:4" x14ac:dyDescent="0.25">
      <c r="A64">
        <v>0.76</v>
      </c>
      <c r="C64">
        <f t="shared" si="0"/>
        <v>-0.36851109842985941</v>
      </c>
      <c r="D64" t="str">
        <f t="shared" si="1"/>
        <v>Normal</v>
      </c>
    </row>
    <row r="65" spans="1:4" x14ac:dyDescent="0.25">
      <c r="A65">
        <v>-2.52</v>
      </c>
      <c r="C65">
        <f t="shared" si="0"/>
        <v>-0.93403284404134002</v>
      </c>
      <c r="D65" t="str">
        <f t="shared" si="1"/>
        <v>Normal</v>
      </c>
    </row>
    <row r="66" spans="1:4" x14ac:dyDescent="0.25">
      <c r="A66">
        <v>-4.3099999999999996</v>
      </c>
      <c r="C66">
        <f t="shared" si="0"/>
        <v>-1.2426559917988247</v>
      </c>
      <c r="D66" t="str">
        <f t="shared" si="1"/>
        <v>Normal</v>
      </c>
    </row>
    <row r="67" spans="1:4" x14ac:dyDescent="0.25">
      <c r="A67">
        <v>1.35</v>
      </c>
      <c r="C67">
        <f t="shared" ref="C67:C130" si="2">(A67 - $B$5) / $B$7</f>
        <v>-0.2667861502863309</v>
      </c>
      <c r="D67" t="str">
        <f t="shared" ref="D67:D130" si="3">IF(ABS(C67) &gt; 2.5, "Outlier", "Normal")</f>
        <v>Normal</v>
      </c>
    </row>
    <row r="68" spans="1:4" x14ac:dyDescent="0.25">
      <c r="A68">
        <v>2.08</v>
      </c>
      <c r="C68">
        <f t="shared" si="2"/>
        <v>-0.1409230788545075</v>
      </c>
      <c r="D68" t="str">
        <f t="shared" si="3"/>
        <v>Normal</v>
      </c>
    </row>
    <row r="69" spans="1:4" x14ac:dyDescent="0.25">
      <c r="A69">
        <v>2.75</v>
      </c>
      <c r="C69">
        <f t="shared" si="2"/>
        <v>-2.5404917403381924E-2</v>
      </c>
      <c r="D69" t="str">
        <f t="shared" si="3"/>
        <v>Normal</v>
      </c>
    </row>
    <row r="70" spans="1:4" x14ac:dyDescent="0.25">
      <c r="A70">
        <v>-1.1499999999999999</v>
      </c>
      <c r="C70">
        <f t="shared" si="2"/>
        <v>-0.69782406614873982</v>
      </c>
      <c r="D70" t="str">
        <f t="shared" si="3"/>
        <v>Normal</v>
      </c>
    </row>
    <row r="71" spans="1:4" x14ac:dyDescent="0.25">
      <c r="A71">
        <v>-4.1399999999999997</v>
      </c>
      <c r="C71">
        <f t="shared" si="2"/>
        <v>-1.2133454135201809</v>
      </c>
      <c r="D71" t="str">
        <f t="shared" si="3"/>
        <v>Normal</v>
      </c>
    </row>
    <row r="72" spans="1:4" x14ac:dyDescent="0.25">
      <c r="A72">
        <v>4.96</v>
      </c>
      <c r="C72">
        <f t="shared" si="2"/>
        <v>0.35563260021898757</v>
      </c>
      <c r="D72" t="str">
        <f t="shared" si="3"/>
        <v>Normal</v>
      </c>
    </row>
    <row r="73" spans="1:4" x14ac:dyDescent="0.25">
      <c r="A73">
        <v>3.69</v>
      </c>
      <c r="C73">
        <f t="shared" si="2"/>
        <v>0.13666533896088384</v>
      </c>
      <c r="D73" t="str">
        <f t="shared" si="3"/>
        <v>Normal</v>
      </c>
    </row>
    <row r="74" spans="1:4" x14ac:dyDescent="0.25">
      <c r="A74">
        <v>-0.16</v>
      </c>
      <c r="C74">
        <f t="shared" si="2"/>
        <v>-0.527133051467226</v>
      </c>
      <c r="D74" t="str">
        <f t="shared" si="3"/>
        <v>Normal</v>
      </c>
    </row>
    <row r="75" spans="1:4" x14ac:dyDescent="0.25">
      <c r="A75">
        <v>-4.46</v>
      </c>
      <c r="C75">
        <f t="shared" si="2"/>
        <v>-1.2685182667505692</v>
      </c>
      <c r="D75" t="str">
        <f t="shared" si="3"/>
        <v>Normal</v>
      </c>
    </row>
    <row r="76" spans="1:4" x14ac:dyDescent="0.25">
      <c r="A76">
        <v>1.1100000000000001</v>
      </c>
      <c r="C76">
        <f t="shared" si="2"/>
        <v>-0.30816579020912216</v>
      </c>
      <c r="D76" t="str">
        <f t="shared" si="3"/>
        <v>Normal</v>
      </c>
    </row>
    <row r="77" spans="1:4" x14ac:dyDescent="0.25">
      <c r="A77">
        <v>0.75</v>
      </c>
      <c r="C77">
        <f t="shared" si="2"/>
        <v>-0.3702352500933091</v>
      </c>
      <c r="D77" t="str">
        <f t="shared" si="3"/>
        <v>Normal</v>
      </c>
    </row>
    <row r="78" spans="1:4" x14ac:dyDescent="0.25">
      <c r="A78">
        <v>2.0099999999999998</v>
      </c>
      <c r="C78">
        <f t="shared" si="2"/>
        <v>-0.152992140498655</v>
      </c>
      <c r="D78" t="str">
        <f t="shared" si="3"/>
        <v>Normal</v>
      </c>
    </row>
    <row r="79" spans="1:4" x14ac:dyDescent="0.25">
      <c r="A79">
        <v>1.71</v>
      </c>
      <c r="C79">
        <f t="shared" si="2"/>
        <v>-0.20471669040214405</v>
      </c>
      <c r="D79" t="str">
        <f t="shared" si="3"/>
        <v>Normal</v>
      </c>
    </row>
    <row r="80" spans="1:4" x14ac:dyDescent="0.25">
      <c r="A80">
        <v>-3.36</v>
      </c>
      <c r="C80">
        <f t="shared" si="2"/>
        <v>-1.0788615837711093</v>
      </c>
      <c r="D80" t="str">
        <f t="shared" si="3"/>
        <v>Normal</v>
      </c>
    </row>
    <row r="81" spans="1:4" x14ac:dyDescent="0.25">
      <c r="A81">
        <v>-1.38</v>
      </c>
      <c r="C81">
        <f t="shared" si="2"/>
        <v>-0.73747955440808144</v>
      </c>
      <c r="D81" t="str">
        <f t="shared" si="3"/>
        <v>Normal</v>
      </c>
    </row>
    <row r="82" spans="1:4" x14ac:dyDescent="0.25">
      <c r="A82">
        <v>4.83</v>
      </c>
      <c r="C82">
        <f t="shared" si="2"/>
        <v>0.33321862859414231</v>
      </c>
      <c r="D82" t="str">
        <f t="shared" si="3"/>
        <v>Normal</v>
      </c>
    </row>
    <row r="83" spans="1:4" x14ac:dyDescent="0.25">
      <c r="A83">
        <v>-3.33</v>
      </c>
      <c r="C83">
        <f t="shared" si="2"/>
        <v>-1.0736891287807606</v>
      </c>
      <c r="D83" t="str">
        <f t="shared" si="3"/>
        <v>Normal</v>
      </c>
    </row>
    <row r="84" spans="1:4" x14ac:dyDescent="0.25">
      <c r="A84">
        <v>1.78</v>
      </c>
      <c r="C84">
        <f t="shared" si="2"/>
        <v>-0.1926476287579966</v>
      </c>
      <c r="D84" t="str">
        <f t="shared" si="3"/>
        <v>Normal</v>
      </c>
    </row>
    <row r="85" spans="1:4" x14ac:dyDescent="0.25">
      <c r="A85">
        <v>4.16</v>
      </c>
      <c r="C85">
        <f t="shared" si="2"/>
        <v>0.21770046714301675</v>
      </c>
      <c r="D85" t="str">
        <f t="shared" si="3"/>
        <v>Normal</v>
      </c>
    </row>
    <row r="86" spans="1:4" x14ac:dyDescent="0.25">
      <c r="A86">
        <v>0.23</v>
      </c>
      <c r="C86">
        <f t="shared" si="2"/>
        <v>-0.45989113659269015</v>
      </c>
      <c r="D86" t="str">
        <f t="shared" si="3"/>
        <v>Normal</v>
      </c>
    </row>
    <row r="87" spans="1:4" x14ac:dyDescent="0.25">
      <c r="A87">
        <v>-3.81</v>
      </c>
      <c r="C87">
        <f t="shared" si="2"/>
        <v>-1.1564484086263429</v>
      </c>
      <c r="D87" t="str">
        <f t="shared" si="3"/>
        <v>Normal</v>
      </c>
    </row>
    <row r="88" spans="1:4" x14ac:dyDescent="0.25">
      <c r="A88">
        <v>-2.2200000000000002</v>
      </c>
      <c r="C88">
        <f t="shared" si="2"/>
        <v>-0.88230829413785095</v>
      </c>
      <c r="D88" t="str">
        <f t="shared" si="3"/>
        <v>Normal</v>
      </c>
    </row>
    <row r="89" spans="1:4" x14ac:dyDescent="0.25">
      <c r="A89">
        <v>-4.07</v>
      </c>
      <c r="C89">
        <f t="shared" si="2"/>
        <v>-1.2012763518760337</v>
      </c>
      <c r="D89" t="str">
        <f t="shared" si="3"/>
        <v>Normal</v>
      </c>
    </row>
    <row r="90" spans="1:4" x14ac:dyDescent="0.25">
      <c r="A90">
        <v>0.68</v>
      </c>
      <c r="C90">
        <f t="shared" si="2"/>
        <v>-0.38230431173745649</v>
      </c>
      <c r="D90" t="str">
        <f t="shared" si="3"/>
        <v>Normal</v>
      </c>
    </row>
    <row r="91" spans="1:4" x14ac:dyDescent="0.25">
      <c r="A91">
        <v>1.2</v>
      </c>
      <c r="C91">
        <f t="shared" si="2"/>
        <v>-0.29264842523807549</v>
      </c>
      <c r="D91" t="str">
        <f t="shared" si="3"/>
        <v>Normal</v>
      </c>
    </row>
    <row r="92" spans="1:4" x14ac:dyDescent="0.25">
      <c r="A92">
        <v>0.94</v>
      </c>
      <c r="C92">
        <f t="shared" si="2"/>
        <v>-0.33747636848776602</v>
      </c>
      <c r="D92" t="str">
        <f t="shared" si="3"/>
        <v>Normal</v>
      </c>
    </row>
    <row r="93" spans="1:4" x14ac:dyDescent="0.25">
      <c r="A93">
        <v>1.55</v>
      </c>
      <c r="C93">
        <f t="shared" si="2"/>
        <v>-0.23230311701733822</v>
      </c>
      <c r="D93" t="str">
        <f t="shared" si="3"/>
        <v>Normal</v>
      </c>
    </row>
    <row r="94" spans="1:4" x14ac:dyDescent="0.25">
      <c r="A94">
        <v>-3.6</v>
      </c>
      <c r="C94">
        <f t="shared" si="2"/>
        <v>-1.1202412236939008</v>
      </c>
      <c r="D94" t="str">
        <f t="shared" si="3"/>
        <v>Normal</v>
      </c>
    </row>
    <row r="95" spans="1:4" x14ac:dyDescent="0.25">
      <c r="A95">
        <v>4.4000000000000004</v>
      </c>
      <c r="C95">
        <f t="shared" si="2"/>
        <v>0.25908010706580803</v>
      </c>
      <c r="D95" t="str">
        <f t="shared" si="3"/>
        <v>Normal</v>
      </c>
    </row>
    <row r="96" spans="1:4" x14ac:dyDescent="0.25">
      <c r="A96">
        <v>3.25</v>
      </c>
      <c r="C96">
        <f t="shared" si="2"/>
        <v>6.0802665769099866E-2</v>
      </c>
      <c r="D96" t="str">
        <f t="shared" si="3"/>
        <v>Normal</v>
      </c>
    </row>
    <row r="97" spans="1:4" x14ac:dyDescent="0.25">
      <c r="A97">
        <v>1.49</v>
      </c>
      <c r="C97">
        <f t="shared" si="2"/>
        <v>-0.24264802699803603</v>
      </c>
      <c r="D97" t="str">
        <f t="shared" si="3"/>
        <v>Normal</v>
      </c>
    </row>
    <row r="98" spans="1:4" x14ac:dyDescent="0.25">
      <c r="A98">
        <v>4.32</v>
      </c>
      <c r="C98">
        <f t="shared" si="2"/>
        <v>0.24528689375821094</v>
      </c>
      <c r="D98" t="str">
        <f t="shared" si="3"/>
        <v>Normal</v>
      </c>
    </row>
    <row r="99" spans="1:4" x14ac:dyDescent="0.25">
      <c r="A99">
        <v>-2.58</v>
      </c>
      <c r="C99">
        <f t="shared" si="2"/>
        <v>-0.94437775402203794</v>
      </c>
      <c r="D99" t="str">
        <f t="shared" si="3"/>
        <v>Normal</v>
      </c>
    </row>
    <row r="100" spans="1:4" x14ac:dyDescent="0.25">
      <c r="A100">
        <v>4.4000000000000004</v>
      </c>
      <c r="C100">
        <f t="shared" si="2"/>
        <v>0.25908010706580803</v>
      </c>
      <c r="D100" t="str">
        <f t="shared" si="3"/>
        <v>Normal</v>
      </c>
    </row>
    <row r="101" spans="1:4" x14ac:dyDescent="0.25">
      <c r="A101">
        <v>-4.9400000000000004</v>
      </c>
      <c r="C101">
        <f t="shared" si="2"/>
        <v>-1.3512775465961517</v>
      </c>
      <c r="D101" t="str">
        <f t="shared" si="3"/>
        <v>Normal</v>
      </c>
    </row>
    <row r="102" spans="1:4" x14ac:dyDescent="0.25">
      <c r="A102">
        <v>1.1399999999999999</v>
      </c>
      <c r="C102">
        <f t="shared" si="2"/>
        <v>-0.30299333521877331</v>
      </c>
      <c r="D102" t="str">
        <f t="shared" si="3"/>
        <v>Normal</v>
      </c>
    </row>
    <row r="103" spans="1:4" x14ac:dyDescent="0.25">
      <c r="A103">
        <v>-2.83</v>
      </c>
      <c r="C103">
        <f t="shared" si="2"/>
        <v>-0.98748154560827883</v>
      </c>
      <c r="D103" t="str">
        <f t="shared" si="3"/>
        <v>Normal</v>
      </c>
    </row>
    <row r="104" spans="1:4" x14ac:dyDescent="0.25">
      <c r="A104">
        <v>3.85</v>
      </c>
      <c r="C104">
        <f t="shared" si="2"/>
        <v>0.16425176557607804</v>
      </c>
      <c r="D104" t="str">
        <f t="shared" si="3"/>
        <v>Normal</v>
      </c>
    </row>
    <row r="105" spans="1:4" x14ac:dyDescent="0.25">
      <c r="A105">
        <v>-2.11</v>
      </c>
      <c r="C105">
        <f t="shared" si="2"/>
        <v>-0.86334262583990484</v>
      </c>
      <c r="D105" t="str">
        <f t="shared" si="3"/>
        <v>Normal</v>
      </c>
    </row>
    <row r="106" spans="1:4" x14ac:dyDescent="0.25">
      <c r="A106">
        <v>1.62</v>
      </c>
      <c r="C106">
        <f t="shared" si="2"/>
        <v>-0.22023405537319074</v>
      </c>
      <c r="D106" t="str">
        <f t="shared" si="3"/>
        <v>Normal</v>
      </c>
    </row>
    <row r="107" spans="1:4" x14ac:dyDescent="0.25">
      <c r="A107">
        <v>-4.41</v>
      </c>
      <c r="C107">
        <f t="shared" si="2"/>
        <v>-1.2598975084333213</v>
      </c>
      <c r="D107" t="str">
        <f t="shared" si="3"/>
        <v>Normal</v>
      </c>
    </row>
    <row r="108" spans="1:4" x14ac:dyDescent="0.25">
      <c r="A108">
        <v>-1.61</v>
      </c>
      <c r="C108">
        <f t="shared" si="2"/>
        <v>-0.77713504266742306</v>
      </c>
      <c r="D108" t="str">
        <f t="shared" si="3"/>
        <v>Normal</v>
      </c>
    </row>
    <row r="109" spans="1:4" x14ac:dyDescent="0.25">
      <c r="A109">
        <v>1.29</v>
      </c>
      <c r="C109">
        <f t="shared" si="2"/>
        <v>-0.27713106026702872</v>
      </c>
      <c r="D109" t="str">
        <f t="shared" si="3"/>
        <v>Normal</v>
      </c>
    </row>
    <row r="110" spans="1:4" x14ac:dyDescent="0.25">
      <c r="A110">
        <v>-2.13</v>
      </c>
      <c r="C110">
        <f t="shared" si="2"/>
        <v>-0.86679092916680411</v>
      </c>
      <c r="D110" t="str">
        <f t="shared" si="3"/>
        <v>Normal</v>
      </c>
    </row>
    <row r="111" spans="1:4" x14ac:dyDescent="0.25">
      <c r="A111">
        <v>-0.22</v>
      </c>
      <c r="C111">
        <f t="shared" si="2"/>
        <v>-0.53747796144792381</v>
      </c>
      <c r="D111" t="str">
        <f t="shared" si="3"/>
        <v>Normal</v>
      </c>
    </row>
    <row r="112" spans="1:4" x14ac:dyDescent="0.25">
      <c r="A112">
        <v>3.42</v>
      </c>
      <c r="C112">
        <f t="shared" si="2"/>
        <v>9.0113244047743665E-2</v>
      </c>
      <c r="D112" t="str">
        <f t="shared" si="3"/>
        <v>Normal</v>
      </c>
    </row>
    <row r="113" spans="1:4" x14ac:dyDescent="0.25">
      <c r="A113">
        <v>-2.85</v>
      </c>
      <c r="C113">
        <f t="shared" si="2"/>
        <v>-0.99092984893517799</v>
      </c>
      <c r="D113" t="str">
        <f t="shared" si="3"/>
        <v>Normal</v>
      </c>
    </row>
    <row r="114" spans="1:4" x14ac:dyDescent="0.25">
      <c r="A114">
        <v>1.36</v>
      </c>
      <c r="C114">
        <f t="shared" si="2"/>
        <v>-0.26506199862288127</v>
      </c>
      <c r="D114" t="str">
        <f t="shared" si="3"/>
        <v>Normal</v>
      </c>
    </row>
    <row r="115" spans="1:4" x14ac:dyDescent="0.25">
      <c r="A115">
        <v>1.52</v>
      </c>
      <c r="C115">
        <f t="shared" si="2"/>
        <v>-0.23747557200768712</v>
      </c>
      <c r="D115" t="str">
        <f t="shared" si="3"/>
        <v>Normal</v>
      </c>
    </row>
    <row r="116" spans="1:4" x14ac:dyDescent="0.25">
      <c r="A116">
        <v>4.9400000000000004</v>
      </c>
      <c r="C116">
        <f t="shared" si="2"/>
        <v>0.35218429689208841</v>
      </c>
      <c r="D116" t="str">
        <f t="shared" si="3"/>
        <v>Normal</v>
      </c>
    </row>
    <row r="117" spans="1:4" x14ac:dyDescent="0.25">
      <c r="A117">
        <v>-1.97</v>
      </c>
      <c r="C117">
        <f t="shared" si="2"/>
        <v>-0.83920450255161005</v>
      </c>
      <c r="D117" t="str">
        <f t="shared" si="3"/>
        <v>Normal</v>
      </c>
    </row>
    <row r="118" spans="1:4" x14ac:dyDescent="0.25">
      <c r="A118">
        <v>-1.96</v>
      </c>
      <c r="C118">
        <f t="shared" si="2"/>
        <v>-0.83748035088816031</v>
      </c>
      <c r="D118" t="str">
        <f t="shared" si="3"/>
        <v>Normal</v>
      </c>
    </row>
    <row r="119" spans="1:4" x14ac:dyDescent="0.25">
      <c r="A119">
        <v>0.04</v>
      </c>
      <c r="C119">
        <f t="shared" si="2"/>
        <v>-0.49265001819823323</v>
      </c>
      <c r="D119" t="str">
        <f t="shared" si="3"/>
        <v>Normal</v>
      </c>
    </row>
    <row r="120" spans="1:4" x14ac:dyDescent="0.25">
      <c r="A120">
        <v>0.27</v>
      </c>
      <c r="C120">
        <f t="shared" si="2"/>
        <v>-0.45299452993889161</v>
      </c>
      <c r="D120" t="str">
        <f t="shared" si="3"/>
        <v>Normal</v>
      </c>
    </row>
    <row r="121" spans="1:4" x14ac:dyDescent="0.25">
      <c r="A121">
        <v>1.5</v>
      </c>
      <c r="C121">
        <f t="shared" si="2"/>
        <v>-0.2409238753345864</v>
      </c>
      <c r="D121" t="str">
        <f t="shared" si="3"/>
        <v>Normal</v>
      </c>
    </row>
    <row r="122" spans="1:4" x14ac:dyDescent="0.25">
      <c r="A122">
        <v>-2</v>
      </c>
      <c r="C122">
        <f t="shared" si="2"/>
        <v>-0.84437695754195896</v>
      </c>
      <c r="D122" t="str">
        <f t="shared" si="3"/>
        <v>Normal</v>
      </c>
    </row>
    <row r="123" spans="1:4" x14ac:dyDescent="0.25">
      <c r="A123">
        <v>-4.51</v>
      </c>
      <c r="C123">
        <f t="shared" si="2"/>
        <v>-1.2771390250678176</v>
      </c>
      <c r="D123" t="str">
        <f t="shared" si="3"/>
        <v>Normal</v>
      </c>
    </row>
    <row r="124" spans="1:4" x14ac:dyDescent="0.25">
      <c r="A124">
        <v>0.74</v>
      </c>
      <c r="C124">
        <f t="shared" si="2"/>
        <v>-0.37195940175675873</v>
      </c>
      <c r="D124" t="str">
        <f t="shared" si="3"/>
        <v>Normal</v>
      </c>
    </row>
    <row r="125" spans="1:4" x14ac:dyDescent="0.25">
      <c r="A125">
        <v>-0.62</v>
      </c>
      <c r="C125">
        <f t="shared" si="2"/>
        <v>-0.60644402798590924</v>
      </c>
      <c r="D125" t="str">
        <f t="shared" si="3"/>
        <v>Normal</v>
      </c>
    </row>
    <row r="126" spans="1:4" x14ac:dyDescent="0.25">
      <c r="A126">
        <v>-1.52</v>
      </c>
      <c r="C126">
        <f t="shared" si="2"/>
        <v>-0.76161767769637645</v>
      </c>
      <c r="D126" t="str">
        <f t="shared" si="3"/>
        <v>Normal</v>
      </c>
    </row>
    <row r="127" spans="1:4" x14ac:dyDescent="0.25">
      <c r="A127">
        <v>4.55</v>
      </c>
      <c r="C127">
        <f t="shared" si="2"/>
        <v>0.28494238201755251</v>
      </c>
      <c r="D127" t="str">
        <f t="shared" si="3"/>
        <v>Normal</v>
      </c>
    </row>
    <row r="128" spans="1:4" x14ac:dyDescent="0.25">
      <c r="A128">
        <v>-2.73</v>
      </c>
      <c r="C128">
        <f t="shared" si="2"/>
        <v>-0.97024002897378236</v>
      </c>
      <c r="D128" t="str">
        <f t="shared" si="3"/>
        <v>Normal</v>
      </c>
    </row>
    <row r="129" spans="1:4" x14ac:dyDescent="0.25">
      <c r="A129">
        <v>-0.35</v>
      </c>
      <c r="C129">
        <f t="shared" si="2"/>
        <v>-0.55989193307276908</v>
      </c>
      <c r="D129" t="str">
        <f t="shared" si="3"/>
        <v>Normal</v>
      </c>
    </row>
    <row r="130" spans="1:4" x14ac:dyDescent="0.25">
      <c r="A130">
        <v>2.7</v>
      </c>
      <c r="C130">
        <f t="shared" si="2"/>
        <v>-3.4025675720630075E-2</v>
      </c>
      <c r="D130" t="str">
        <f t="shared" si="3"/>
        <v>Normal</v>
      </c>
    </row>
    <row r="131" spans="1:4" x14ac:dyDescent="0.25">
      <c r="A131">
        <v>3.87</v>
      </c>
      <c r="C131">
        <f t="shared" ref="C131:C194" si="4">(A131 - $B$5) / $B$7</f>
        <v>0.16770006890297731</v>
      </c>
      <c r="D131" t="str">
        <f t="shared" ref="D131:D194" si="5">IF(ABS(C131) &gt; 2.5, "Outlier", "Normal")</f>
        <v>Normal</v>
      </c>
    </row>
    <row r="132" spans="1:4" x14ac:dyDescent="0.25">
      <c r="A132">
        <v>4.87</v>
      </c>
      <c r="C132">
        <f t="shared" si="4"/>
        <v>0.34011523524794091</v>
      </c>
      <c r="D132" t="str">
        <f t="shared" si="5"/>
        <v>Normal</v>
      </c>
    </row>
    <row r="133" spans="1:4" x14ac:dyDescent="0.25">
      <c r="A133">
        <v>1.77</v>
      </c>
      <c r="C133">
        <f t="shared" si="4"/>
        <v>-0.19437178042144623</v>
      </c>
      <c r="D133" t="str">
        <f t="shared" si="5"/>
        <v>Normal</v>
      </c>
    </row>
    <row r="134" spans="1:4" x14ac:dyDescent="0.25">
      <c r="A134">
        <v>-0.25</v>
      </c>
      <c r="C134">
        <f t="shared" si="4"/>
        <v>-0.54265041643827261</v>
      </c>
      <c r="D134" t="str">
        <f t="shared" si="5"/>
        <v>Normal</v>
      </c>
    </row>
    <row r="135" spans="1:4" x14ac:dyDescent="0.25">
      <c r="A135">
        <v>2.93</v>
      </c>
      <c r="C135">
        <f t="shared" si="4"/>
        <v>5.629812538711549E-3</v>
      </c>
      <c r="D135" t="str">
        <f t="shared" si="5"/>
        <v>Normal</v>
      </c>
    </row>
    <row r="136" spans="1:4" x14ac:dyDescent="0.25">
      <c r="A136">
        <v>-1.6</v>
      </c>
      <c r="C136">
        <f t="shared" si="4"/>
        <v>-0.77541089100397353</v>
      </c>
      <c r="D136" t="str">
        <f t="shared" si="5"/>
        <v>Normal</v>
      </c>
    </row>
    <row r="137" spans="1:4" x14ac:dyDescent="0.25">
      <c r="A137">
        <v>2.68</v>
      </c>
      <c r="C137">
        <f t="shared" si="4"/>
        <v>-3.7473979047529346E-2</v>
      </c>
      <c r="D137" t="str">
        <f t="shared" si="5"/>
        <v>Normal</v>
      </c>
    </row>
    <row r="138" spans="1:4" x14ac:dyDescent="0.25">
      <c r="A138">
        <v>3.78</v>
      </c>
      <c r="C138">
        <f t="shared" si="4"/>
        <v>0.15218270393193054</v>
      </c>
      <c r="D138" t="str">
        <f t="shared" si="5"/>
        <v>Normal</v>
      </c>
    </row>
    <row r="139" spans="1:4" x14ac:dyDescent="0.25">
      <c r="A139">
        <v>-0.44</v>
      </c>
      <c r="C139">
        <f t="shared" si="4"/>
        <v>-0.57540929804381569</v>
      </c>
      <c r="D139" t="str">
        <f t="shared" si="5"/>
        <v>Normal</v>
      </c>
    </row>
    <row r="140" spans="1:4" x14ac:dyDescent="0.25">
      <c r="A140">
        <v>2.72</v>
      </c>
      <c r="C140">
        <f t="shared" si="4"/>
        <v>-3.0577372393730796E-2</v>
      </c>
      <c r="D140" t="str">
        <f t="shared" si="5"/>
        <v>Normal</v>
      </c>
    </row>
    <row r="141" spans="1:4" x14ac:dyDescent="0.25">
      <c r="A141">
        <v>1.32</v>
      </c>
      <c r="C141">
        <f t="shared" si="4"/>
        <v>-0.27195860527667981</v>
      </c>
      <c r="D141" t="str">
        <f t="shared" si="5"/>
        <v>Normal</v>
      </c>
    </row>
    <row r="142" spans="1:4" x14ac:dyDescent="0.25">
      <c r="A142">
        <v>-1.81</v>
      </c>
      <c r="C142">
        <f t="shared" si="4"/>
        <v>-0.81161807593641588</v>
      </c>
      <c r="D142" t="str">
        <f t="shared" si="5"/>
        <v>Normal</v>
      </c>
    </row>
    <row r="143" spans="1:4" x14ac:dyDescent="0.25">
      <c r="A143">
        <v>2.09</v>
      </c>
      <c r="C143">
        <f t="shared" si="4"/>
        <v>-0.13919892719105792</v>
      </c>
      <c r="D143" t="str">
        <f t="shared" si="5"/>
        <v>Normal</v>
      </c>
    </row>
    <row r="144" spans="1:4" x14ac:dyDescent="0.25">
      <c r="A144">
        <v>-0.05</v>
      </c>
      <c r="C144">
        <f t="shared" si="4"/>
        <v>-0.5081673831692799</v>
      </c>
      <c r="D144" t="str">
        <f t="shared" si="5"/>
        <v>Normal</v>
      </c>
    </row>
    <row r="145" spans="1:4" x14ac:dyDescent="0.25">
      <c r="A145">
        <v>-1.82</v>
      </c>
      <c r="C145">
        <f t="shared" si="4"/>
        <v>-0.81334222759986541</v>
      </c>
      <c r="D145" t="str">
        <f t="shared" si="5"/>
        <v>Normal</v>
      </c>
    </row>
    <row r="146" spans="1:4" x14ac:dyDescent="0.25">
      <c r="A146">
        <v>-2.1</v>
      </c>
      <c r="C146">
        <f t="shared" si="4"/>
        <v>-0.86161847417645532</v>
      </c>
      <c r="D146" t="str">
        <f t="shared" si="5"/>
        <v>Normal</v>
      </c>
    </row>
    <row r="147" spans="1:4" x14ac:dyDescent="0.25">
      <c r="A147">
        <v>-3.37</v>
      </c>
      <c r="C147">
        <f t="shared" si="4"/>
        <v>-1.0805857354345589</v>
      </c>
      <c r="D147" t="str">
        <f t="shared" si="5"/>
        <v>Normal</v>
      </c>
    </row>
    <row r="148" spans="1:4" x14ac:dyDescent="0.25">
      <c r="A148">
        <v>-0.6</v>
      </c>
      <c r="C148">
        <f t="shared" si="4"/>
        <v>-0.60299572465900997</v>
      </c>
      <c r="D148" t="str">
        <f t="shared" si="5"/>
        <v>Normal</v>
      </c>
    </row>
    <row r="149" spans="1:4" x14ac:dyDescent="0.25">
      <c r="A149">
        <v>-2.73</v>
      </c>
      <c r="C149">
        <f t="shared" si="4"/>
        <v>-0.97024002897378236</v>
      </c>
      <c r="D149" t="str">
        <f t="shared" si="5"/>
        <v>Normal</v>
      </c>
    </row>
    <row r="150" spans="1:4" x14ac:dyDescent="0.25">
      <c r="A150">
        <v>-3.07</v>
      </c>
      <c r="C150">
        <f t="shared" si="4"/>
        <v>-1.0288611855310699</v>
      </c>
      <c r="D150" t="str">
        <f t="shared" si="5"/>
        <v>Normal</v>
      </c>
    </row>
    <row r="151" spans="1:4" x14ac:dyDescent="0.25">
      <c r="A151">
        <v>1.33</v>
      </c>
      <c r="C151">
        <f t="shared" si="4"/>
        <v>-0.27023445361323017</v>
      </c>
      <c r="D151" t="str">
        <f t="shared" si="5"/>
        <v>Normal</v>
      </c>
    </row>
    <row r="152" spans="1:4" x14ac:dyDescent="0.25">
      <c r="A152">
        <v>2.57</v>
      </c>
      <c r="C152">
        <f t="shared" si="4"/>
        <v>-5.6439647345475394E-2</v>
      </c>
      <c r="D152" t="str">
        <f t="shared" si="5"/>
        <v>Normal</v>
      </c>
    </row>
    <row r="153" spans="1:4" x14ac:dyDescent="0.25">
      <c r="A153">
        <v>-4.21</v>
      </c>
      <c r="C153">
        <f t="shared" si="4"/>
        <v>-1.2254144751643283</v>
      </c>
      <c r="D153" t="str">
        <f t="shared" si="5"/>
        <v>Normal</v>
      </c>
    </row>
    <row r="154" spans="1:4" x14ac:dyDescent="0.25">
      <c r="A154">
        <v>-3.11</v>
      </c>
      <c r="C154">
        <f t="shared" si="4"/>
        <v>-1.0357577921848684</v>
      </c>
      <c r="D154" t="str">
        <f t="shared" si="5"/>
        <v>Normal</v>
      </c>
    </row>
    <row r="155" spans="1:4" x14ac:dyDescent="0.25">
      <c r="A155">
        <v>0.25</v>
      </c>
      <c r="C155">
        <f t="shared" si="4"/>
        <v>-0.45644283326579088</v>
      </c>
      <c r="D155" t="str">
        <f t="shared" si="5"/>
        <v>Normal</v>
      </c>
    </row>
    <row r="156" spans="1:4" x14ac:dyDescent="0.25">
      <c r="A156">
        <v>-0.95</v>
      </c>
      <c r="C156">
        <f t="shared" si="4"/>
        <v>-0.66334103287974711</v>
      </c>
      <c r="D156" t="str">
        <f t="shared" si="5"/>
        <v>Normal</v>
      </c>
    </row>
    <row r="157" spans="1:4" x14ac:dyDescent="0.25">
      <c r="A157">
        <v>0.02</v>
      </c>
      <c r="C157">
        <f t="shared" si="4"/>
        <v>-0.4960983215251325</v>
      </c>
      <c r="D157" t="str">
        <f t="shared" si="5"/>
        <v>Normal</v>
      </c>
    </row>
    <row r="158" spans="1:4" x14ac:dyDescent="0.25">
      <c r="A158">
        <v>1.58</v>
      </c>
      <c r="C158">
        <f t="shared" si="4"/>
        <v>-0.22713066202698931</v>
      </c>
      <c r="D158" t="str">
        <f t="shared" si="5"/>
        <v>Normal</v>
      </c>
    </row>
    <row r="159" spans="1:4" x14ac:dyDescent="0.25">
      <c r="A159">
        <v>4.58</v>
      </c>
      <c r="C159">
        <f t="shared" si="4"/>
        <v>0.29011483700790142</v>
      </c>
      <c r="D159" t="str">
        <f t="shared" si="5"/>
        <v>Normal</v>
      </c>
    </row>
    <row r="160" spans="1:4" x14ac:dyDescent="0.25">
      <c r="A160">
        <v>0.89</v>
      </c>
      <c r="C160">
        <f t="shared" si="4"/>
        <v>-0.34609712680501414</v>
      </c>
      <c r="D160" t="str">
        <f t="shared" si="5"/>
        <v>Normal</v>
      </c>
    </row>
    <row r="161" spans="1:4" x14ac:dyDescent="0.25">
      <c r="A161">
        <v>-1.02</v>
      </c>
      <c r="C161">
        <f t="shared" si="4"/>
        <v>-0.67541009452389467</v>
      </c>
      <c r="D161" t="str">
        <f t="shared" si="5"/>
        <v>Normal</v>
      </c>
    </row>
    <row r="162" spans="1:4" x14ac:dyDescent="0.25">
      <c r="A162">
        <v>-3.92</v>
      </c>
      <c r="C162">
        <f t="shared" si="4"/>
        <v>-1.1754140769242891</v>
      </c>
      <c r="D162" t="str">
        <f t="shared" si="5"/>
        <v>Normal</v>
      </c>
    </row>
    <row r="163" spans="1:4" x14ac:dyDescent="0.25">
      <c r="A163">
        <v>-1.75</v>
      </c>
      <c r="C163">
        <f t="shared" si="4"/>
        <v>-0.80127316595571807</v>
      </c>
      <c r="D163" t="str">
        <f t="shared" si="5"/>
        <v>Normal</v>
      </c>
    </row>
    <row r="164" spans="1:4" x14ac:dyDescent="0.25">
      <c r="A164">
        <v>0.16</v>
      </c>
      <c r="C164">
        <f t="shared" si="4"/>
        <v>-0.47196019823683755</v>
      </c>
      <c r="D164" t="str">
        <f t="shared" si="5"/>
        <v>Normal</v>
      </c>
    </row>
    <row r="165" spans="1:4" x14ac:dyDescent="0.25">
      <c r="A165">
        <v>1.7</v>
      </c>
      <c r="C165">
        <f t="shared" si="4"/>
        <v>-0.20644084206559368</v>
      </c>
      <c r="D165" t="str">
        <f t="shared" si="5"/>
        <v>Normal</v>
      </c>
    </row>
    <row r="166" spans="1:4" x14ac:dyDescent="0.25">
      <c r="A166">
        <v>-4.7</v>
      </c>
      <c r="C166">
        <f t="shared" si="4"/>
        <v>-1.3098979066733605</v>
      </c>
      <c r="D166" t="str">
        <f t="shared" si="5"/>
        <v>Normal</v>
      </c>
    </row>
    <row r="167" spans="1:4" x14ac:dyDescent="0.25">
      <c r="A167">
        <v>-4.0999999999999996</v>
      </c>
      <c r="C167">
        <f t="shared" si="4"/>
        <v>-1.2064488068663826</v>
      </c>
      <c r="D167" t="str">
        <f t="shared" si="5"/>
        <v>Normal</v>
      </c>
    </row>
    <row r="168" spans="1:4" x14ac:dyDescent="0.25">
      <c r="A168">
        <v>0.62</v>
      </c>
      <c r="C168">
        <f t="shared" si="4"/>
        <v>-0.39264922171815431</v>
      </c>
      <c r="D168" t="str">
        <f t="shared" si="5"/>
        <v>Normal</v>
      </c>
    </row>
    <row r="169" spans="1:4" x14ac:dyDescent="0.25">
      <c r="A169">
        <v>-4.97</v>
      </c>
      <c r="C169">
        <f t="shared" si="4"/>
        <v>-1.3564500015865006</v>
      </c>
      <c r="D169" t="str">
        <f t="shared" si="5"/>
        <v>Normal</v>
      </c>
    </row>
    <row r="170" spans="1:4" x14ac:dyDescent="0.25">
      <c r="A170">
        <v>-4.6399999999999997</v>
      </c>
      <c r="C170">
        <f t="shared" si="4"/>
        <v>-1.2995529966926627</v>
      </c>
      <c r="D170" t="str">
        <f t="shared" si="5"/>
        <v>Normal</v>
      </c>
    </row>
    <row r="171" spans="1:4" x14ac:dyDescent="0.25">
      <c r="A171">
        <v>-2.95</v>
      </c>
      <c r="C171">
        <f t="shared" si="4"/>
        <v>-1.0081713655696742</v>
      </c>
      <c r="D171" t="str">
        <f t="shared" si="5"/>
        <v>Normal</v>
      </c>
    </row>
    <row r="172" spans="1:4" x14ac:dyDescent="0.25">
      <c r="A172">
        <v>0.31</v>
      </c>
      <c r="C172">
        <f t="shared" si="4"/>
        <v>-0.44609792328509307</v>
      </c>
      <c r="D172" t="str">
        <f t="shared" si="5"/>
        <v>Normal</v>
      </c>
    </row>
    <row r="173" spans="1:4" x14ac:dyDescent="0.25">
      <c r="A173">
        <v>1.0900000000000001</v>
      </c>
      <c r="C173">
        <f t="shared" si="4"/>
        <v>-0.31161409353602143</v>
      </c>
      <c r="D173" t="str">
        <f t="shared" si="5"/>
        <v>Normal</v>
      </c>
    </row>
    <row r="174" spans="1:4" x14ac:dyDescent="0.25">
      <c r="A174">
        <v>-3.3</v>
      </c>
      <c r="C174">
        <f t="shared" si="4"/>
        <v>-1.0685166737904115</v>
      </c>
      <c r="D174" t="str">
        <f t="shared" si="5"/>
        <v>Normal</v>
      </c>
    </row>
    <row r="175" spans="1:4" x14ac:dyDescent="0.25">
      <c r="A175">
        <v>2.04</v>
      </c>
      <c r="C175">
        <f t="shared" si="4"/>
        <v>-0.14781968550830607</v>
      </c>
      <c r="D175" t="str">
        <f t="shared" si="5"/>
        <v>Normal</v>
      </c>
    </row>
    <row r="176" spans="1:4" x14ac:dyDescent="0.25">
      <c r="A176">
        <v>-1.61</v>
      </c>
      <c r="C176">
        <f t="shared" si="4"/>
        <v>-0.77713504266742306</v>
      </c>
      <c r="D176" t="str">
        <f t="shared" si="5"/>
        <v>Normal</v>
      </c>
    </row>
    <row r="177" spans="1:4" x14ac:dyDescent="0.25">
      <c r="A177">
        <v>2.9</v>
      </c>
      <c r="C177">
        <f t="shared" si="4"/>
        <v>4.5735754836259853E-4</v>
      </c>
      <c r="D177" t="str">
        <f t="shared" si="5"/>
        <v>Normal</v>
      </c>
    </row>
    <row r="178" spans="1:4" x14ac:dyDescent="0.25">
      <c r="A178">
        <v>-3.19</v>
      </c>
      <c r="C178">
        <f t="shared" si="4"/>
        <v>-1.0495510054924655</v>
      </c>
      <c r="D178" t="str">
        <f t="shared" si="5"/>
        <v>Normal</v>
      </c>
    </row>
    <row r="179" spans="1:4" x14ac:dyDescent="0.25">
      <c r="A179">
        <v>1.75</v>
      </c>
      <c r="C179">
        <f t="shared" si="4"/>
        <v>-0.1978200837483455</v>
      </c>
      <c r="D179" t="str">
        <f t="shared" si="5"/>
        <v>Normal</v>
      </c>
    </row>
    <row r="180" spans="1:4" x14ac:dyDescent="0.25">
      <c r="A180">
        <v>-3.66</v>
      </c>
      <c r="C180">
        <f t="shared" si="4"/>
        <v>-1.1305861336745986</v>
      </c>
      <c r="D180" t="str">
        <f t="shared" si="5"/>
        <v>Normal</v>
      </c>
    </row>
    <row r="181" spans="1:4" x14ac:dyDescent="0.25">
      <c r="A181">
        <v>-4.29</v>
      </c>
      <c r="C181">
        <f t="shared" si="4"/>
        <v>-1.2392076884719254</v>
      </c>
      <c r="D181" t="str">
        <f t="shared" si="5"/>
        <v>Normal</v>
      </c>
    </row>
    <row r="182" spans="1:4" x14ac:dyDescent="0.25">
      <c r="A182">
        <v>4.05</v>
      </c>
      <c r="C182">
        <f t="shared" si="4"/>
        <v>0.1987347988450707</v>
      </c>
      <c r="D182" t="str">
        <f t="shared" si="5"/>
        <v>Normal</v>
      </c>
    </row>
    <row r="183" spans="1:4" x14ac:dyDescent="0.25">
      <c r="A183">
        <v>-1.1599999999999999</v>
      </c>
      <c r="C183">
        <f t="shared" si="4"/>
        <v>-0.69954821781218945</v>
      </c>
      <c r="D183" t="str">
        <f t="shared" si="5"/>
        <v>Normal</v>
      </c>
    </row>
    <row r="184" spans="1:4" x14ac:dyDescent="0.25">
      <c r="A184">
        <v>-3.47</v>
      </c>
      <c r="C184">
        <f t="shared" si="4"/>
        <v>-1.0978272520690555</v>
      </c>
      <c r="D184" t="str">
        <f t="shared" si="5"/>
        <v>Normal</v>
      </c>
    </row>
    <row r="185" spans="1:4" x14ac:dyDescent="0.25">
      <c r="A185">
        <v>-3.35</v>
      </c>
      <c r="C185">
        <f t="shared" si="4"/>
        <v>-1.0771374321076597</v>
      </c>
      <c r="D185" t="str">
        <f t="shared" si="5"/>
        <v>Normal</v>
      </c>
    </row>
    <row r="186" spans="1:4" x14ac:dyDescent="0.25">
      <c r="A186">
        <v>-2.59</v>
      </c>
      <c r="C186">
        <f t="shared" si="4"/>
        <v>-0.94610190568548747</v>
      </c>
      <c r="D186" t="str">
        <f t="shared" si="5"/>
        <v>Normal</v>
      </c>
    </row>
    <row r="187" spans="1:4" x14ac:dyDescent="0.25">
      <c r="A187">
        <v>-1.46</v>
      </c>
      <c r="C187">
        <f t="shared" si="4"/>
        <v>-0.75127276771567852</v>
      </c>
      <c r="D187" t="str">
        <f t="shared" si="5"/>
        <v>Normal</v>
      </c>
    </row>
    <row r="188" spans="1:4" x14ac:dyDescent="0.25">
      <c r="A188">
        <v>3.62</v>
      </c>
      <c r="C188">
        <f t="shared" si="4"/>
        <v>0.12459627731673641</v>
      </c>
      <c r="D188" t="str">
        <f t="shared" si="5"/>
        <v>Normal</v>
      </c>
    </row>
    <row r="189" spans="1:4" x14ac:dyDescent="0.25">
      <c r="A189">
        <v>1.8</v>
      </c>
      <c r="C189">
        <f t="shared" si="4"/>
        <v>-0.18919932543109733</v>
      </c>
      <c r="D189" t="str">
        <f t="shared" si="5"/>
        <v>Normal</v>
      </c>
    </row>
    <row r="190" spans="1:4" x14ac:dyDescent="0.25">
      <c r="A190">
        <v>-2.23</v>
      </c>
      <c r="C190">
        <f t="shared" si="4"/>
        <v>-0.88403244580130058</v>
      </c>
      <c r="D190" t="str">
        <f t="shared" si="5"/>
        <v>Normal</v>
      </c>
    </row>
    <row r="191" spans="1:4" x14ac:dyDescent="0.25">
      <c r="A191">
        <v>2.41</v>
      </c>
      <c r="C191">
        <f t="shared" si="4"/>
        <v>-8.4026073960669509E-2</v>
      </c>
      <c r="D191" t="str">
        <f t="shared" si="5"/>
        <v>Normal</v>
      </c>
    </row>
    <row r="192" spans="1:4" x14ac:dyDescent="0.25">
      <c r="A192">
        <v>3.8</v>
      </c>
      <c r="C192">
        <f t="shared" si="4"/>
        <v>0.15563100725882981</v>
      </c>
      <c r="D192" t="str">
        <f t="shared" si="5"/>
        <v>Normal</v>
      </c>
    </row>
    <row r="193" spans="1:4" x14ac:dyDescent="0.25">
      <c r="A193">
        <v>-1.77</v>
      </c>
      <c r="C193">
        <f t="shared" si="4"/>
        <v>-0.80472146928261734</v>
      </c>
      <c r="D193" t="str">
        <f t="shared" si="5"/>
        <v>Normal</v>
      </c>
    </row>
    <row r="194" spans="1:4" x14ac:dyDescent="0.25">
      <c r="A194">
        <v>-4.46</v>
      </c>
      <c r="C194">
        <f t="shared" si="4"/>
        <v>-1.2685182667505692</v>
      </c>
      <c r="D194" t="str">
        <f t="shared" si="5"/>
        <v>Normal</v>
      </c>
    </row>
    <row r="195" spans="1:4" x14ac:dyDescent="0.25">
      <c r="A195">
        <v>0.6</v>
      </c>
      <c r="C195">
        <f t="shared" ref="C195:C258" si="6">(A195 - $B$5) / $B$7</f>
        <v>-0.39609752504505358</v>
      </c>
      <c r="D195" t="str">
        <f t="shared" ref="D195:D258" si="7">IF(ABS(C195) &gt; 2.5, "Outlier", "Normal")</f>
        <v>Normal</v>
      </c>
    </row>
    <row r="196" spans="1:4" x14ac:dyDescent="0.25">
      <c r="A196">
        <v>3.17</v>
      </c>
      <c r="C196">
        <f t="shared" si="6"/>
        <v>4.7009452461502767E-2</v>
      </c>
      <c r="D196" t="str">
        <f t="shared" si="7"/>
        <v>Normal</v>
      </c>
    </row>
    <row r="197" spans="1:4" x14ac:dyDescent="0.25">
      <c r="A197">
        <v>-4.08</v>
      </c>
      <c r="C197">
        <f t="shared" si="6"/>
        <v>-1.2030005035394833</v>
      </c>
      <c r="D197" t="str">
        <f t="shared" si="7"/>
        <v>Normal</v>
      </c>
    </row>
    <row r="198" spans="1:4" x14ac:dyDescent="0.25">
      <c r="A198">
        <v>2.46</v>
      </c>
      <c r="C198">
        <f t="shared" si="6"/>
        <v>-7.5405315643421372E-2</v>
      </c>
      <c r="D198" t="str">
        <f t="shared" si="7"/>
        <v>Normal</v>
      </c>
    </row>
    <row r="199" spans="1:4" x14ac:dyDescent="0.25">
      <c r="A199">
        <v>-3.33</v>
      </c>
      <c r="C199">
        <f t="shared" si="6"/>
        <v>-1.0736891287807606</v>
      </c>
      <c r="D199" t="str">
        <f t="shared" si="7"/>
        <v>Normal</v>
      </c>
    </row>
    <row r="200" spans="1:4" x14ac:dyDescent="0.25">
      <c r="A200">
        <v>4.3600000000000003</v>
      </c>
      <c r="C200">
        <f t="shared" si="6"/>
        <v>0.25218350041200949</v>
      </c>
      <c r="D200" t="str">
        <f t="shared" si="7"/>
        <v>Normal</v>
      </c>
    </row>
    <row r="201" spans="1:4" x14ac:dyDescent="0.25">
      <c r="A201">
        <v>-1.68</v>
      </c>
      <c r="C201">
        <f t="shared" si="6"/>
        <v>-0.78920410431157062</v>
      </c>
      <c r="D201" t="str">
        <f t="shared" si="7"/>
        <v>Normal</v>
      </c>
    </row>
    <row r="202" spans="1:4" x14ac:dyDescent="0.25">
      <c r="A202">
        <v>2.66</v>
      </c>
      <c r="C202">
        <f t="shared" si="6"/>
        <v>-4.0922282374428617E-2</v>
      </c>
      <c r="D202" t="str">
        <f t="shared" si="7"/>
        <v>Normal</v>
      </c>
    </row>
    <row r="203" spans="1:4" x14ac:dyDescent="0.25">
      <c r="A203">
        <v>2.04</v>
      </c>
      <c r="C203">
        <f t="shared" si="6"/>
        <v>-0.14781968550830607</v>
      </c>
      <c r="D203" t="str">
        <f t="shared" si="7"/>
        <v>Normal</v>
      </c>
    </row>
    <row r="204" spans="1:4" x14ac:dyDescent="0.25">
      <c r="A204">
        <v>-3.24</v>
      </c>
      <c r="C204">
        <f t="shared" si="6"/>
        <v>-1.0581717638097139</v>
      </c>
      <c r="D204" t="str">
        <f t="shared" si="7"/>
        <v>Normal</v>
      </c>
    </row>
    <row r="205" spans="1:4" x14ac:dyDescent="0.25">
      <c r="A205">
        <v>2.91</v>
      </c>
      <c r="C205">
        <f t="shared" si="6"/>
        <v>2.1815092118122742E-3</v>
      </c>
      <c r="D205" t="str">
        <f t="shared" si="7"/>
        <v>Normal</v>
      </c>
    </row>
    <row r="206" spans="1:4" x14ac:dyDescent="0.25">
      <c r="A206">
        <v>-4.76</v>
      </c>
      <c r="C206">
        <f t="shared" si="6"/>
        <v>-1.3202428166540585</v>
      </c>
      <c r="D206" t="str">
        <f t="shared" si="7"/>
        <v>Normal</v>
      </c>
    </row>
    <row r="207" spans="1:4" x14ac:dyDescent="0.25">
      <c r="A207">
        <v>-1.35</v>
      </c>
      <c r="C207">
        <f t="shared" si="6"/>
        <v>-0.73230709941773264</v>
      </c>
      <c r="D207" t="str">
        <f t="shared" si="7"/>
        <v>Normal</v>
      </c>
    </row>
    <row r="208" spans="1:4" x14ac:dyDescent="0.25">
      <c r="A208">
        <v>-2.38</v>
      </c>
      <c r="C208">
        <f t="shared" si="6"/>
        <v>-0.90989472075304501</v>
      </c>
      <c r="D208" t="str">
        <f t="shared" si="7"/>
        <v>Normal</v>
      </c>
    </row>
    <row r="209" spans="1:4" x14ac:dyDescent="0.25">
      <c r="A209">
        <v>3.19</v>
      </c>
      <c r="C209">
        <f t="shared" si="6"/>
        <v>5.0457755788402045E-2</v>
      </c>
      <c r="D209" t="str">
        <f t="shared" si="7"/>
        <v>Normal</v>
      </c>
    </row>
    <row r="210" spans="1:4" x14ac:dyDescent="0.25">
      <c r="A210">
        <v>1.71</v>
      </c>
      <c r="C210">
        <f t="shared" si="6"/>
        <v>-0.20471669040214405</v>
      </c>
      <c r="D210" t="str">
        <f t="shared" si="7"/>
        <v>Normal</v>
      </c>
    </row>
    <row r="211" spans="1:4" x14ac:dyDescent="0.25">
      <c r="A211">
        <v>-4.79</v>
      </c>
      <c r="C211">
        <f t="shared" si="6"/>
        <v>-1.3254152716444072</v>
      </c>
      <c r="D211" t="str">
        <f t="shared" si="7"/>
        <v>Normal</v>
      </c>
    </row>
    <row r="212" spans="1:4" x14ac:dyDescent="0.25">
      <c r="A212">
        <v>3.12</v>
      </c>
      <c r="C212">
        <f t="shared" si="6"/>
        <v>3.8388694144254623E-2</v>
      </c>
      <c r="D212" t="str">
        <f t="shared" si="7"/>
        <v>Normal</v>
      </c>
    </row>
    <row r="213" spans="1:4" x14ac:dyDescent="0.25">
      <c r="A213">
        <v>3.53</v>
      </c>
      <c r="C213">
        <f t="shared" si="6"/>
        <v>0.10907891234568963</v>
      </c>
      <c r="D213" t="str">
        <f t="shared" si="7"/>
        <v>Normal</v>
      </c>
    </row>
    <row r="214" spans="1:4" x14ac:dyDescent="0.25">
      <c r="A214">
        <v>-1.49</v>
      </c>
      <c r="C214">
        <f t="shared" si="6"/>
        <v>-0.75644522270602743</v>
      </c>
      <c r="D214" t="str">
        <f t="shared" si="7"/>
        <v>Normal</v>
      </c>
    </row>
    <row r="215" spans="1:4" x14ac:dyDescent="0.25">
      <c r="A215">
        <v>4.17</v>
      </c>
      <c r="C215">
        <f t="shared" si="6"/>
        <v>0.21942461880646635</v>
      </c>
      <c r="D215" t="str">
        <f t="shared" si="7"/>
        <v>Normal</v>
      </c>
    </row>
    <row r="216" spans="1:4" x14ac:dyDescent="0.25">
      <c r="A216">
        <v>-0.92</v>
      </c>
      <c r="C216">
        <f t="shared" si="6"/>
        <v>-0.6581685778893982</v>
      </c>
      <c r="D216" t="str">
        <f t="shared" si="7"/>
        <v>Normal</v>
      </c>
    </row>
    <row r="217" spans="1:4" x14ac:dyDescent="0.25">
      <c r="A217">
        <v>-2.2000000000000002</v>
      </c>
      <c r="C217">
        <f t="shared" si="6"/>
        <v>-0.87885999081095156</v>
      </c>
      <c r="D217" t="str">
        <f t="shared" si="7"/>
        <v>Normal</v>
      </c>
    </row>
    <row r="218" spans="1:4" x14ac:dyDescent="0.25">
      <c r="A218">
        <v>-3.99</v>
      </c>
      <c r="C218">
        <f t="shared" si="6"/>
        <v>-1.1874831385684366</v>
      </c>
      <c r="D218" t="str">
        <f t="shared" si="7"/>
        <v>Normal</v>
      </c>
    </row>
    <row r="219" spans="1:4" x14ac:dyDescent="0.25">
      <c r="A219">
        <v>-3.63</v>
      </c>
      <c r="C219">
        <f t="shared" si="6"/>
        <v>-1.1254136786842495</v>
      </c>
      <c r="D219" t="str">
        <f t="shared" si="7"/>
        <v>Normal</v>
      </c>
    </row>
    <row r="220" spans="1:4" x14ac:dyDescent="0.25">
      <c r="A220">
        <v>4.66</v>
      </c>
      <c r="C220">
        <f t="shared" si="6"/>
        <v>0.30390805031549856</v>
      </c>
      <c r="D220" t="str">
        <f t="shared" si="7"/>
        <v>Normal</v>
      </c>
    </row>
    <row r="221" spans="1:4" x14ac:dyDescent="0.25">
      <c r="A221">
        <v>-0.96</v>
      </c>
      <c r="C221">
        <f t="shared" si="6"/>
        <v>-0.66506518454319685</v>
      </c>
      <c r="D221" t="str">
        <f t="shared" si="7"/>
        <v>Normal</v>
      </c>
    </row>
    <row r="222" spans="1:4" x14ac:dyDescent="0.25">
      <c r="A222">
        <v>0.35</v>
      </c>
      <c r="C222">
        <f t="shared" si="6"/>
        <v>-0.43920131663129452</v>
      </c>
      <c r="D222" t="str">
        <f t="shared" si="7"/>
        <v>Normal</v>
      </c>
    </row>
    <row r="223" spans="1:4" x14ac:dyDescent="0.25">
      <c r="A223">
        <v>-3.89</v>
      </c>
      <c r="C223">
        <f t="shared" si="6"/>
        <v>-1.1702416219339402</v>
      </c>
      <c r="D223" t="str">
        <f t="shared" si="7"/>
        <v>Normal</v>
      </c>
    </row>
    <row r="224" spans="1:4" x14ac:dyDescent="0.25">
      <c r="A224">
        <v>-2.34</v>
      </c>
      <c r="C224">
        <f t="shared" si="6"/>
        <v>-0.90299811409924657</v>
      </c>
      <c r="D224" t="str">
        <f t="shared" si="7"/>
        <v>Normal</v>
      </c>
    </row>
    <row r="225" spans="1:4" x14ac:dyDescent="0.25">
      <c r="A225">
        <v>0.32</v>
      </c>
      <c r="C225">
        <f t="shared" si="6"/>
        <v>-0.44437377162164343</v>
      </c>
      <c r="D225" t="str">
        <f t="shared" si="7"/>
        <v>Normal</v>
      </c>
    </row>
    <row r="226" spans="1:4" x14ac:dyDescent="0.25">
      <c r="A226">
        <v>1.65</v>
      </c>
      <c r="C226">
        <f t="shared" si="6"/>
        <v>-0.21506160038284189</v>
      </c>
      <c r="D226" t="str">
        <f t="shared" si="7"/>
        <v>Normal</v>
      </c>
    </row>
    <row r="227" spans="1:4" x14ac:dyDescent="0.25">
      <c r="A227">
        <v>-4.5999999999999996</v>
      </c>
      <c r="C227">
        <f t="shared" si="6"/>
        <v>-1.2926563900388643</v>
      </c>
      <c r="D227" t="str">
        <f t="shared" si="7"/>
        <v>Normal</v>
      </c>
    </row>
    <row r="228" spans="1:4" x14ac:dyDescent="0.25">
      <c r="A228">
        <v>-3.34</v>
      </c>
      <c r="C228">
        <f t="shared" si="6"/>
        <v>-1.0754132804442103</v>
      </c>
      <c r="D228" t="str">
        <f t="shared" si="7"/>
        <v>Normal</v>
      </c>
    </row>
    <row r="229" spans="1:4" x14ac:dyDescent="0.25">
      <c r="A229">
        <v>0.48</v>
      </c>
      <c r="C229">
        <f t="shared" si="6"/>
        <v>-0.41678734500644926</v>
      </c>
      <c r="D229" t="str">
        <f t="shared" si="7"/>
        <v>Normal</v>
      </c>
    </row>
    <row r="230" spans="1:4" x14ac:dyDescent="0.25">
      <c r="A230">
        <v>3.16</v>
      </c>
      <c r="C230">
        <f t="shared" si="6"/>
        <v>4.5285300798053166E-2</v>
      </c>
      <c r="D230" t="str">
        <f t="shared" si="7"/>
        <v>Normal</v>
      </c>
    </row>
    <row r="231" spans="1:4" x14ac:dyDescent="0.25">
      <c r="A231">
        <v>1.87</v>
      </c>
      <c r="C231">
        <f t="shared" si="6"/>
        <v>-0.17713026378694985</v>
      </c>
      <c r="D231" t="str">
        <f t="shared" si="7"/>
        <v>Normal</v>
      </c>
    </row>
    <row r="232" spans="1:4" x14ac:dyDescent="0.25">
      <c r="A232">
        <v>3.38</v>
      </c>
      <c r="C232">
        <f t="shared" si="6"/>
        <v>8.3216637393945109E-2</v>
      </c>
      <c r="D232" t="str">
        <f t="shared" si="7"/>
        <v>Normal</v>
      </c>
    </row>
    <row r="233" spans="1:4" x14ac:dyDescent="0.25">
      <c r="A233">
        <v>-1.1299999999999999</v>
      </c>
      <c r="C233">
        <f t="shared" si="6"/>
        <v>-0.69437576282184055</v>
      </c>
      <c r="D233" t="str">
        <f t="shared" si="7"/>
        <v>Normal</v>
      </c>
    </row>
    <row r="234" spans="1:4" x14ac:dyDescent="0.25">
      <c r="A234">
        <v>-0.47</v>
      </c>
      <c r="C234">
        <f t="shared" si="6"/>
        <v>-0.5805817530341647</v>
      </c>
      <c r="D234" t="str">
        <f t="shared" si="7"/>
        <v>Normal</v>
      </c>
    </row>
    <row r="235" spans="1:4" x14ac:dyDescent="0.25">
      <c r="A235">
        <v>-3.37</v>
      </c>
      <c r="C235">
        <f t="shared" si="6"/>
        <v>-1.0805857354345589</v>
      </c>
      <c r="D235" t="str">
        <f t="shared" si="7"/>
        <v>Normal</v>
      </c>
    </row>
    <row r="236" spans="1:4" x14ac:dyDescent="0.25">
      <c r="A236">
        <v>0.15</v>
      </c>
      <c r="C236">
        <f t="shared" si="6"/>
        <v>-0.47368434990028724</v>
      </c>
      <c r="D236" t="str">
        <f t="shared" si="7"/>
        <v>Normal</v>
      </c>
    </row>
    <row r="237" spans="1:4" x14ac:dyDescent="0.25">
      <c r="A237">
        <v>-4.55</v>
      </c>
      <c r="C237">
        <f t="shared" si="6"/>
        <v>-1.2840356317216159</v>
      </c>
      <c r="D237" t="str">
        <f t="shared" si="7"/>
        <v>Normal</v>
      </c>
    </row>
    <row r="238" spans="1:4" x14ac:dyDescent="0.25">
      <c r="A238">
        <v>-0.72</v>
      </c>
      <c r="C238">
        <f t="shared" si="6"/>
        <v>-0.6236855446204056</v>
      </c>
      <c r="D238" t="str">
        <f t="shared" si="7"/>
        <v>Normal</v>
      </c>
    </row>
    <row r="239" spans="1:4" x14ac:dyDescent="0.25">
      <c r="A239">
        <v>4.93</v>
      </c>
      <c r="C239">
        <f t="shared" si="6"/>
        <v>0.35046014522863861</v>
      </c>
      <c r="D239" t="str">
        <f t="shared" si="7"/>
        <v>Normal</v>
      </c>
    </row>
    <row r="240" spans="1:4" x14ac:dyDescent="0.25">
      <c r="A240">
        <v>0.04</v>
      </c>
      <c r="C240">
        <f t="shared" si="6"/>
        <v>-0.49265001819823323</v>
      </c>
      <c r="D240" t="str">
        <f t="shared" si="7"/>
        <v>Normal</v>
      </c>
    </row>
    <row r="241" spans="1:4" x14ac:dyDescent="0.25">
      <c r="A241">
        <v>-0.73</v>
      </c>
      <c r="C241">
        <f t="shared" si="6"/>
        <v>-0.62540969628385523</v>
      </c>
      <c r="D241" t="str">
        <f t="shared" si="7"/>
        <v>Normal</v>
      </c>
    </row>
    <row r="242" spans="1:4" x14ac:dyDescent="0.25">
      <c r="A242">
        <v>0</v>
      </c>
      <c r="C242">
        <f t="shared" si="6"/>
        <v>-0.49954662485203177</v>
      </c>
      <c r="D242" t="str">
        <f t="shared" si="7"/>
        <v>Normal</v>
      </c>
    </row>
    <row r="243" spans="1:4" x14ac:dyDescent="0.25">
      <c r="A243">
        <v>3.75</v>
      </c>
      <c r="C243">
        <f t="shared" si="6"/>
        <v>0.14701024894158166</v>
      </c>
      <c r="D243" t="str">
        <f t="shared" si="7"/>
        <v>Normal</v>
      </c>
    </row>
    <row r="244" spans="1:4" x14ac:dyDescent="0.25">
      <c r="A244">
        <v>-4.57</v>
      </c>
      <c r="C244">
        <f t="shared" si="6"/>
        <v>-1.2874839350485154</v>
      </c>
      <c r="D244" t="str">
        <f t="shared" si="7"/>
        <v>Normal</v>
      </c>
    </row>
    <row r="245" spans="1:4" x14ac:dyDescent="0.25">
      <c r="A245">
        <v>3.18</v>
      </c>
      <c r="C245">
        <f t="shared" si="6"/>
        <v>4.8733604124952444E-2</v>
      </c>
      <c r="D245" t="str">
        <f t="shared" si="7"/>
        <v>Normal</v>
      </c>
    </row>
    <row r="246" spans="1:4" x14ac:dyDescent="0.25">
      <c r="A246">
        <v>-0.7</v>
      </c>
      <c r="C246">
        <f t="shared" si="6"/>
        <v>-0.62023724129350621</v>
      </c>
      <c r="D246" t="str">
        <f t="shared" si="7"/>
        <v>Normal</v>
      </c>
    </row>
    <row r="247" spans="1:4" x14ac:dyDescent="0.25">
      <c r="A247">
        <v>3.82</v>
      </c>
      <c r="C247">
        <f t="shared" si="6"/>
        <v>0.15907931058572908</v>
      </c>
      <c r="D247" t="str">
        <f t="shared" si="7"/>
        <v>Normal</v>
      </c>
    </row>
    <row r="248" spans="1:4" x14ac:dyDescent="0.25">
      <c r="A248">
        <v>1.05</v>
      </c>
      <c r="C248">
        <f t="shared" si="6"/>
        <v>-0.31851070018981997</v>
      </c>
      <c r="D248" t="str">
        <f t="shared" si="7"/>
        <v>Normal</v>
      </c>
    </row>
    <row r="249" spans="1:4" x14ac:dyDescent="0.25">
      <c r="A249">
        <v>-2.5299999999999998</v>
      </c>
      <c r="C249">
        <f t="shared" si="6"/>
        <v>-0.93575699570478954</v>
      </c>
      <c r="D249" t="str">
        <f t="shared" si="7"/>
        <v>Normal</v>
      </c>
    </row>
    <row r="250" spans="1:4" x14ac:dyDescent="0.25">
      <c r="A250">
        <v>-2.58</v>
      </c>
      <c r="C250">
        <f t="shared" si="6"/>
        <v>-0.94437775402203794</v>
      </c>
      <c r="D250" t="str">
        <f t="shared" si="7"/>
        <v>Normal</v>
      </c>
    </row>
    <row r="251" spans="1:4" x14ac:dyDescent="0.25">
      <c r="A251">
        <v>2.93</v>
      </c>
      <c r="C251">
        <f t="shared" si="6"/>
        <v>5.629812538711549E-3</v>
      </c>
      <c r="D251" t="str">
        <f t="shared" si="7"/>
        <v>Normal</v>
      </c>
    </row>
    <row r="252" spans="1:4" x14ac:dyDescent="0.25">
      <c r="A252">
        <v>0.85</v>
      </c>
      <c r="C252">
        <f t="shared" si="6"/>
        <v>-0.35299373345881269</v>
      </c>
      <c r="D252" t="str">
        <f t="shared" si="7"/>
        <v>Normal</v>
      </c>
    </row>
    <row r="253" spans="1:4" x14ac:dyDescent="0.25">
      <c r="A253">
        <v>1.07</v>
      </c>
      <c r="C253">
        <f t="shared" si="6"/>
        <v>-0.3150623968629207</v>
      </c>
      <c r="D253" t="str">
        <f t="shared" si="7"/>
        <v>Normal</v>
      </c>
    </row>
    <row r="254" spans="1:4" x14ac:dyDescent="0.25">
      <c r="A254">
        <v>-4.3899999999999997</v>
      </c>
      <c r="C254">
        <f t="shared" si="6"/>
        <v>-1.2564492051064218</v>
      </c>
      <c r="D254" t="str">
        <f t="shared" si="7"/>
        <v>Normal</v>
      </c>
    </row>
    <row r="255" spans="1:4" x14ac:dyDescent="0.25">
      <c r="A255">
        <v>-1.46</v>
      </c>
      <c r="C255">
        <f t="shared" si="6"/>
        <v>-0.75127276771567852</v>
      </c>
      <c r="D255" t="str">
        <f t="shared" si="7"/>
        <v>Normal</v>
      </c>
    </row>
    <row r="256" spans="1:4" x14ac:dyDescent="0.25">
      <c r="A256">
        <v>-3.26</v>
      </c>
      <c r="C256">
        <f t="shared" si="6"/>
        <v>-1.0616200671366132</v>
      </c>
      <c r="D256" t="str">
        <f t="shared" si="7"/>
        <v>Normal</v>
      </c>
    </row>
    <row r="257" spans="1:4" x14ac:dyDescent="0.25">
      <c r="A257">
        <v>4.8</v>
      </c>
      <c r="C257">
        <f t="shared" si="6"/>
        <v>0.3280461736037934</v>
      </c>
      <c r="D257" t="str">
        <f t="shared" si="7"/>
        <v>Normal</v>
      </c>
    </row>
    <row r="258" spans="1:4" x14ac:dyDescent="0.25">
      <c r="A258">
        <v>-1.75</v>
      </c>
      <c r="C258">
        <f t="shared" si="6"/>
        <v>-0.80127316595571807</v>
      </c>
      <c r="D258" t="str">
        <f t="shared" si="7"/>
        <v>Normal</v>
      </c>
    </row>
    <row r="259" spans="1:4" x14ac:dyDescent="0.25">
      <c r="A259">
        <v>1.07</v>
      </c>
      <c r="C259">
        <f t="shared" ref="C259:C322" si="8">(A259 - $B$5) / $B$7</f>
        <v>-0.3150623968629207</v>
      </c>
      <c r="D259" t="str">
        <f t="shared" ref="D259:D322" si="9">IF(ABS(C259) &gt; 2.5, "Outlier", "Normal")</f>
        <v>Normal</v>
      </c>
    </row>
    <row r="260" spans="1:4" x14ac:dyDescent="0.25">
      <c r="A260">
        <v>-3.87</v>
      </c>
      <c r="C260">
        <f t="shared" si="8"/>
        <v>-1.1667933186070407</v>
      </c>
      <c r="D260" t="str">
        <f t="shared" si="9"/>
        <v>Normal</v>
      </c>
    </row>
    <row r="261" spans="1:4" x14ac:dyDescent="0.25">
      <c r="A261">
        <v>2.31</v>
      </c>
      <c r="C261">
        <f t="shared" si="8"/>
        <v>-0.10126759059516589</v>
      </c>
      <c r="D261" t="str">
        <f t="shared" si="9"/>
        <v>Normal</v>
      </c>
    </row>
    <row r="262" spans="1:4" x14ac:dyDescent="0.25">
      <c r="A262">
        <v>-1.27</v>
      </c>
      <c r="C262">
        <f t="shared" si="8"/>
        <v>-0.71851388611013556</v>
      </c>
      <c r="D262" t="str">
        <f t="shared" si="9"/>
        <v>Normal</v>
      </c>
    </row>
    <row r="263" spans="1:4" x14ac:dyDescent="0.25">
      <c r="A263">
        <v>2.69</v>
      </c>
      <c r="C263">
        <f t="shared" si="8"/>
        <v>-3.5749827384079745E-2</v>
      </c>
      <c r="D263" t="str">
        <f t="shared" si="9"/>
        <v>Normal</v>
      </c>
    </row>
    <row r="264" spans="1:4" x14ac:dyDescent="0.25">
      <c r="A264">
        <v>-0.14000000000000001</v>
      </c>
      <c r="C264">
        <f t="shared" si="8"/>
        <v>-0.52368474814032673</v>
      </c>
      <c r="D264" t="str">
        <f t="shared" si="9"/>
        <v>Normal</v>
      </c>
    </row>
    <row r="265" spans="1:4" x14ac:dyDescent="0.25">
      <c r="A265">
        <v>-2.7</v>
      </c>
      <c r="C265">
        <f t="shared" si="8"/>
        <v>-0.96506757398343335</v>
      </c>
      <c r="D265" t="str">
        <f t="shared" si="9"/>
        <v>Normal</v>
      </c>
    </row>
    <row r="266" spans="1:4" x14ac:dyDescent="0.25">
      <c r="A266">
        <v>4.22</v>
      </c>
      <c r="C266">
        <f t="shared" si="8"/>
        <v>0.2280453771237145</v>
      </c>
      <c r="D266" t="str">
        <f t="shared" si="9"/>
        <v>Normal</v>
      </c>
    </row>
    <row r="267" spans="1:4" x14ac:dyDescent="0.25">
      <c r="A267">
        <v>2.89</v>
      </c>
      <c r="C267">
        <f t="shared" si="8"/>
        <v>-1.2667941150870006E-3</v>
      </c>
      <c r="D267" t="str">
        <f t="shared" si="9"/>
        <v>Normal</v>
      </c>
    </row>
    <row r="268" spans="1:4" x14ac:dyDescent="0.25">
      <c r="A268">
        <v>-4.32</v>
      </c>
      <c r="C268">
        <f t="shared" si="8"/>
        <v>-1.2443801434622745</v>
      </c>
      <c r="D268" t="str">
        <f t="shared" si="9"/>
        <v>Normal</v>
      </c>
    </row>
    <row r="269" spans="1:4" x14ac:dyDescent="0.25">
      <c r="A269">
        <v>1.38</v>
      </c>
      <c r="C269">
        <f t="shared" si="8"/>
        <v>-0.26161369529598205</v>
      </c>
      <c r="D269" t="str">
        <f t="shared" si="9"/>
        <v>Normal</v>
      </c>
    </row>
    <row r="270" spans="1:4" x14ac:dyDescent="0.25">
      <c r="A270">
        <v>-3.79</v>
      </c>
      <c r="C270">
        <f t="shared" si="8"/>
        <v>-1.1530001052994436</v>
      </c>
      <c r="D270" t="str">
        <f t="shared" si="9"/>
        <v>Normal</v>
      </c>
    </row>
    <row r="271" spans="1:4" x14ac:dyDescent="0.25">
      <c r="A271">
        <v>1.6</v>
      </c>
      <c r="C271">
        <f t="shared" si="8"/>
        <v>-0.22368235870009001</v>
      </c>
      <c r="D271" t="str">
        <f t="shared" si="9"/>
        <v>Normal</v>
      </c>
    </row>
    <row r="272" spans="1:4" x14ac:dyDescent="0.25">
      <c r="A272">
        <v>0.33</v>
      </c>
      <c r="C272">
        <f t="shared" si="8"/>
        <v>-0.4426496199581938</v>
      </c>
      <c r="D272" t="str">
        <f t="shared" si="9"/>
        <v>Normal</v>
      </c>
    </row>
    <row r="273" spans="1:4" x14ac:dyDescent="0.25">
      <c r="A273">
        <v>1.28</v>
      </c>
      <c r="C273">
        <f t="shared" si="8"/>
        <v>-0.27885521193047835</v>
      </c>
      <c r="D273" t="str">
        <f t="shared" si="9"/>
        <v>Normal</v>
      </c>
    </row>
    <row r="274" spans="1:4" x14ac:dyDescent="0.25">
      <c r="A274">
        <v>-4.2300000000000004</v>
      </c>
      <c r="C274">
        <f t="shared" si="8"/>
        <v>-1.2288627784912278</v>
      </c>
      <c r="D274" t="str">
        <f t="shared" si="9"/>
        <v>Normal</v>
      </c>
    </row>
    <row r="275" spans="1:4" x14ac:dyDescent="0.25">
      <c r="A275">
        <v>1.18</v>
      </c>
      <c r="C275">
        <f t="shared" si="8"/>
        <v>-0.29609672856497476</v>
      </c>
      <c r="D275" t="str">
        <f t="shared" si="9"/>
        <v>Normal</v>
      </c>
    </row>
    <row r="276" spans="1:4" x14ac:dyDescent="0.25">
      <c r="A276">
        <v>-0.87</v>
      </c>
      <c r="C276">
        <f t="shared" si="8"/>
        <v>-0.64954781957215013</v>
      </c>
      <c r="D276" t="str">
        <f t="shared" si="9"/>
        <v>Normal</v>
      </c>
    </row>
    <row r="277" spans="1:4" x14ac:dyDescent="0.25">
      <c r="A277">
        <v>-4.5599999999999996</v>
      </c>
      <c r="C277">
        <f t="shared" si="8"/>
        <v>-1.2857597833850656</v>
      </c>
      <c r="D277" t="str">
        <f t="shared" si="9"/>
        <v>Normal</v>
      </c>
    </row>
    <row r="278" spans="1:4" x14ac:dyDescent="0.25">
      <c r="A278">
        <v>3.52</v>
      </c>
      <c r="C278">
        <f t="shared" si="8"/>
        <v>0.10735476068224004</v>
      </c>
      <c r="D278" t="str">
        <f t="shared" si="9"/>
        <v>Normal</v>
      </c>
    </row>
    <row r="279" spans="1:4" x14ac:dyDescent="0.25">
      <c r="A279">
        <v>-2.2999999999999998</v>
      </c>
      <c r="C279">
        <f t="shared" si="8"/>
        <v>-0.89610150744544792</v>
      </c>
      <c r="D279" t="str">
        <f t="shared" si="9"/>
        <v>Normal</v>
      </c>
    </row>
    <row r="280" spans="1:4" x14ac:dyDescent="0.25">
      <c r="A280">
        <v>-4.9000000000000004</v>
      </c>
      <c r="C280">
        <f t="shared" si="8"/>
        <v>-1.3443809399423534</v>
      </c>
      <c r="D280" t="str">
        <f t="shared" si="9"/>
        <v>Normal</v>
      </c>
    </row>
    <row r="281" spans="1:4" x14ac:dyDescent="0.25">
      <c r="A281">
        <v>-1.04</v>
      </c>
      <c r="C281">
        <f t="shared" si="8"/>
        <v>-0.67885839785079394</v>
      </c>
      <c r="D281" t="str">
        <f t="shared" si="9"/>
        <v>Normal</v>
      </c>
    </row>
    <row r="282" spans="1:4" x14ac:dyDescent="0.25">
      <c r="A282">
        <v>3.71</v>
      </c>
      <c r="C282">
        <f t="shared" si="8"/>
        <v>0.14011364228778311</v>
      </c>
      <c r="D282" t="str">
        <f t="shared" si="9"/>
        <v>Normal</v>
      </c>
    </row>
    <row r="283" spans="1:4" x14ac:dyDescent="0.25">
      <c r="A283">
        <v>1.24</v>
      </c>
      <c r="C283">
        <f t="shared" si="8"/>
        <v>-0.28575181858427695</v>
      </c>
      <c r="D283" t="str">
        <f t="shared" si="9"/>
        <v>Normal</v>
      </c>
    </row>
    <row r="284" spans="1:4" x14ac:dyDescent="0.25">
      <c r="A284">
        <v>-3.62</v>
      </c>
      <c r="C284">
        <f t="shared" si="8"/>
        <v>-1.1236895270207998</v>
      </c>
      <c r="D284" t="str">
        <f t="shared" si="9"/>
        <v>Normal</v>
      </c>
    </row>
    <row r="285" spans="1:4" x14ac:dyDescent="0.25">
      <c r="A285">
        <v>-1.8</v>
      </c>
      <c r="C285">
        <f t="shared" si="8"/>
        <v>-0.80989392427296625</v>
      </c>
      <c r="D285" t="str">
        <f t="shared" si="9"/>
        <v>Normal</v>
      </c>
    </row>
    <row r="286" spans="1:4" x14ac:dyDescent="0.25">
      <c r="A286">
        <v>-2.3199999999999998</v>
      </c>
      <c r="C286">
        <f t="shared" si="8"/>
        <v>-0.89954981077234719</v>
      </c>
      <c r="D286" t="str">
        <f t="shared" si="9"/>
        <v>Normal</v>
      </c>
    </row>
    <row r="287" spans="1:4" x14ac:dyDescent="0.25">
      <c r="A287">
        <v>-1.88</v>
      </c>
      <c r="C287">
        <f t="shared" si="8"/>
        <v>-0.82368713758056322</v>
      </c>
      <c r="D287" t="str">
        <f t="shared" si="9"/>
        <v>Normal</v>
      </c>
    </row>
    <row r="288" spans="1:4" x14ac:dyDescent="0.25">
      <c r="A288">
        <v>1.89</v>
      </c>
      <c r="C288">
        <f t="shared" si="8"/>
        <v>-0.17368196046005061</v>
      </c>
      <c r="D288" t="str">
        <f t="shared" si="9"/>
        <v>Normal</v>
      </c>
    </row>
    <row r="289" spans="1:4" x14ac:dyDescent="0.25">
      <c r="A289">
        <v>1.75</v>
      </c>
      <c r="C289">
        <f t="shared" si="8"/>
        <v>-0.1978200837483455</v>
      </c>
      <c r="D289" t="str">
        <f t="shared" si="9"/>
        <v>Normal</v>
      </c>
    </row>
    <row r="290" spans="1:4" x14ac:dyDescent="0.25">
      <c r="A290">
        <v>0.68</v>
      </c>
      <c r="C290">
        <f t="shared" si="8"/>
        <v>-0.38230431173745649</v>
      </c>
      <c r="D290" t="str">
        <f t="shared" si="9"/>
        <v>Normal</v>
      </c>
    </row>
    <row r="291" spans="1:4" x14ac:dyDescent="0.25">
      <c r="A291">
        <v>2.8</v>
      </c>
      <c r="C291">
        <f t="shared" si="8"/>
        <v>-1.6784159086133774E-2</v>
      </c>
      <c r="D291" t="str">
        <f t="shared" si="9"/>
        <v>Normal</v>
      </c>
    </row>
    <row r="292" spans="1:4" x14ac:dyDescent="0.25">
      <c r="A292">
        <v>4.6900000000000004</v>
      </c>
      <c r="C292">
        <f t="shared" si="8"/>
        <v>0.30908050530584746</v>
      </c>
      <c r="D292" t="str">
        <f t="shared" si="9"/>
        <v>Normal</v>
      </c>
    </row>
    <row r="293" spans="1:4" x14ac:dyDescent="0.25">
      <c r="A293">
        <v>3.26</v>
      </c>
      <c r="C293">
        <f t="shared" si="8"/>
        <v>6.2526817432549467E-2</v>
      </c>
      <c r="D293" t="str">
        <f t="shared" si="9"/>
        <v>Normal</v>
      </c>
    </row>
    <row r="294" spans="1:4" x14ac:dyDescent="0.25">
      <c r="A294">
        <v>-4.9000000000000004</v>
      </c>
      <c r="C294">
        <f t="shared" si="8"/>
        <v>-1.3443809399423534</v>
      </c>
      <c r="D294" t="str">
        <f t="shared" si="9"/>
        <v>Normal</v>
      </c>
    </row>
    <row r="295" spans="1:4" x14ac:dyDescent="0.25">
      <c r="A295">
        <v>-1.05</v>
      </c>
      <c r="C295">
        <f t="shared" si="8"/>
        <v>-0.68058254951424357</v>
      </c>
      <c r="D295" t="str">
        <f t="shared" si="9"/>
        <v>Normal</v>
      </c>
    </row>
    <row r="296" spans="1:4" x14ac:dyDescent="0.25">
      <c r="A296">
        <v>0.9</v>
      </c>
      <c r="C296">
        <f t="shared" si="8"/>
        <v>-0.34437297514156456</v>
      </c>
      <c r="D296" t="str">
        <f t="shared" si="9"/>
        <v>Normal</v>
      </c>
    </row>
    <row r="297" spans="1:4" x14ac:dyDescent="0.25">
      <c r="A297">
        <v>2.58</v>
      </c>
      <c r="C297">
        <f t="shared" si="8"/>
        <v>-5.4715495682025717E-2</v>
      </c>
      <c r="D297" t="str">
        <f t="shared" si="9"/>
        <v>Normal</v>
      </c>
    </row>
    <row r="298" spans="1:4" x14ac:dyDescent="0.25">
      <c r="A298">
        <v>1.59</v>
      </c>
      <c r="C298">
        <f t="shared" si="8"/>
        <v>-0.22540651036353967</v>
      </c>
      <c r="D298" t="str">
        <f t="shared" si="9"/>
        <v>Normal</v>
      </c>
    </row>
    <row r="299" spans="1:4" x14ac:dyDescent="0.25">
      <c r="A299">
        <v>-4.62</v>
      </c>
      <c r="C299">
        <f t="shared" si="8"/>
        <v>-1.2961046933657634</v>
      </c>
      <c r="D299" t="str">
        <f t="shared" si="9"/>
        <v>Normal</v>
      </c>
    </row>
    <row r="300" spans="1:4" x14ac:dyDescent="0.25">
      <c r="A300">
        <v>-2.78</v>
      </c>
      <c r="C300">
        <f t="shared" si="8"/>
        <v>-0.97886078729103043</v>
      </c>
      <c r="D300" t="str">
        <f t="shared" si="9"/>
        <v>Normal</v>
      </c>
    </row>
    <row r="301" spans="1:4" x14ac:dyDescent="0.25">
      <c r="A301">
        <v>-2.2000000000000002</v>
      </c>
      <c r="C301">
        <f t="shared" si="8"/>
        <v>-0.87885999081095156</v>
      </c>
      <c r="D301" t="str">
        <f t="shared" si="9"/>
        <v>Normal</v>
      </c>
    </row>
    <row r="302" spans="1:4" x14ac:dyDescent="0.25">
      <c r="A302">
        <v>-2.12</v>
      </c>
      <c r="C302">
        <f t="shared" si="8"/>
        <v>-0.86506677750335448</v>
      </c>
      <c r="D302" t="str">
        <f t="shared" si="9"/>
        <v>Normal</v>
      </c>
    </row>
    <row r="303" spans="1:4" x14ac:dyDescent="0.25">
      <c r="A303">
        <v>2</v>
      </c>
      <c r="C303">
        <f t="shared" si="8"/>
        <v>-0.15471629216210461</v>
      </c>
      <c r="D303" t="str">
        <f t="shared" si="9"/>
        <v>Normal</v>
      </c>
    </row>
    <row r="304" spans="1:4" x14ac:dyDescent="0.25">
      <c r="A304">
        <v>1.33</v>
      </c>
      <c r="C304">
        <f t="shared" si="8"/>
        <v>-0.27023445361323017</v>
      </c>
      <c r="D304" t="str">
        <f t="shared" si="9"/>
        <v>Normal</v>
      </c>
    </row>
    <row r="305" spans="1:4" x14ac:dyDescent="0.25">
      <c r="A305">
        <v>-0.64</v>
      </c>
      <c r="C305">
        <f t="shared" si="8"/>
        <v>-0.60989233131280851</v>
      </c>
      <c r="D305" t="str">
        <f t="shared" si="9"/>
        <v>Normal</v>
      </c>
    </row>
    <row r="306" spans="1:4" x14ac:dyDescent="0.25">
      <c r="A306">
        <v>2.86</v>
      </c>
      <c r="C306">
        <f t="shared" si="8"/>
        <v>-6.439249105435951E-3</v>
      </c>
      <c r="D306" t="str">
        <f t="shared" si="9"/>
        <v>Normal</v>
      </c>
    </row>
    <row r="307" spans="1:4" x14ac:dyDescent="0.25">
      <c r="A307">
        <v>-0.3</v>
      </c>
      <c r="C307">
        <f t="shared" si="8"/>
        <v>-0.55127117475552079</v>
      </c>
      <c r="D307" t="str">
        <f t="shared" si="9"/>
        <v>Normal</v>
      </c>
    </row>
    <row r="308" spans="1:4" x14ac:dyDescent="0.25">
      <c r="A308">
        <v>4.82</v>
      </c>
      <c r="C308">
        <f t="shared" si="8"/>
        <v>0.33149447693069273</v>
      </c>
      <c r="D308" t="str">
        <f t="shared" si="9"/>
        <v>Normal</v>
      </c>
    </row>
    <row r="309" spans="1:4" x14ac:dyDescent="0.25">
      <c r="A309">
        <v>-3.66</v>
      </c>
      <c r="C309">
        <f t="shared" si="8"/>
        <v>-1.1305861336745986</v>
      </c>
      <c r="D309" t="str">
        <f t="shared" si="9"/>
        <v>Normal</v>
      </c>
    </row>
    <row r="310" spans="1:4" x14ac:dyDescent="0.25">
      <c r="A310">
        <v>-4.01</v>
      </c>
      <c r="C310">
        <f t="shared" si="8"/>
        <v>-1.1909314418953358</v>
      </c>
      <c r="D310" t="str">
        <f t="shared" si="9"/>
        <v>Normal</v>
      </c>
    </row>
    <row r="311" spans="1:4" x14ac:dyDescent="0.25">
      <c r="A311">
        <v>-0.28000000000000003</v>
      </c>
      <c r="C311">
        <f t="shared" si="8"/>
        <v>-0.54782287142862152</v>
      </c>
      <c r="D311" t="str">
        <f t="shared" si="9"/>
        <v>Normal</v>
      </c>
    </row>
    <row r="312" spans="1:4" x14ac:dyDescent="0.25">
      <c r="A312">
        <v>-0.59</v>
      </c>
      <c r="C312">
        <f t="shared" si="8"/>
        <v>-0.60127157299556022</v>
      </c>
      <c r="D312" t="str">
        <f t="shared" si="9"/>
        <v>Normal</v>
      </c>
    </row>
    <row r="313" spans="1:4" x14ac:dyDescent="0.25">
      <c r="A313">
        <v>3.57</v>
      </c>
      <c r="C313">
        <f t="shared" si="8"/>
        <v>0.11597551899948819</v>
      </c>
      <c r="D313" t="str">
        <f t="shared" si="9"/>
        <v>Normal</v>
      </c>
    </row>
    <row r="314" spans="1:4" x14ac:dyDescent="0.25">
      <c r="A314">
        <v>-4.08</v>
      </c>
      <c r="C314">
        <f t="shared" si="8"/>
        <v>-1.2030005035394833</v>
      </c>
      <c r="D314" t="str">
        <f t="shared" si="9"/>
        <v>Normal</v>
      </c>
    </row>
    <row r="315" spans="1:4" x14ac:dyDescent="0.25">
      <c r="A315">
        <v>-4.3099999999999996</v>
      </c>
      <c r="C315">
        <f t="shared" si="8"/>
        <v>-1.2426559917988247</v>
      </c>
      <c r="D315" t="str">
        <f t="shared" si="9"/>
        <v>Normal</v>
      </c>
    </row>
    <row r="316" spans="1:4" x14ac:dyDescent="0.25">
      <c r="A316">
        <v>-1.0900000000000001</v>
      </c>
      <c r="C316">
        <f t="shared" si="8"/>
        <v>-0.68747915616804212</v>
      </c>
      <c r="D316" t="str">
        <f t="shared" si="9"/>
        <v>Normal</v>
      </c>
    </row>
    <row r="317" spans="1:4" x14ac:dyDescent="0.25">
      <c r="A317">
        <v>-4.9000000000000004</v>
      </c>
      <c r="C317">
        <f t="shared" si="8"/>
        <v>-1.3443809399423534</v>
      </c>
      <c r="D317" t="str">
        <f t="shared" si="9"/>
        <v>Normal</v>
      </c>
    </row>
    <row r="318" spans="1:4" x14ac:dyDescent="0.25">
      <c r="A318">
        <v>-3.98</v>
      </c>
      <c r="C318">
        <f t="shared" si="8"/>
        <v>-1.1857589869049867</v>
      </c>
      <c r="D318" t="str">
        <f t="shared" si="9"/>
        <v>Normal</v>
      </c>
    </row>
    <row r="319" spans="1:4" x14ac:dyDescent="0.25">
      <c r="A319">
        <v>-2.8</v>
      </c>
      <c r="C319">
        <f t="shared" si="8"/>
        <v>-0.9823090906179297</v>
      </c>
      <c r="D319" t="str">
        <f t="shared" si="9"/>
        <v>Normal</v>
      </c>
    </row>
    <row r="320" spans="1:4" x14ac:dyDescent="0.25">
      <c r="A320">
        <v>3.17</v>
      </c>
      <c r="C320">
        <f t="shared" si="8"/>
        <v>4.7009452461502767E-2</v>
      </c>
      <c r="D320" t="str">
        <f t="shared" si="9"/>
        <v>Normal</v>
      </c>
    </row>
    <row r="321" spans="1:4" x14ac:dyDescent="0.25">
      <c r="A321">
        <v>3.04</v>
      </c>
      <c r="C321">
        <f t="shared" si="8"/>
        <v>2.459548083665752E-2</v>
      </c>
      <c r="D321" t="str">
        <f t="shared" si="9"/>
        <v>Normal</v>
      </c>
    </row>
    <row r="322" spans="1:4" x14ac:dyDescent="0.25">
      <c r="A322">
        <v>2.76</v>
      </c>
      <c r="C322">
        <f t="shared" si="8"/>
        <v>-2.3680765739932323E-2</v>
      </c>
      <c r="D322" t="str">
        <f t="shared" si="9"/>
        <v>Normal</v>
      </c>
    </row>
    <row r="323" spans="1:4" x14ac:dyDescent="0.25">
      <c r="A323">
        <v>-3.74</v>
      </c>
      <c r="C323">
        <f t="shared" ref="C323:C386" si="10">(A323 - $B$5) / $B$7</f>
        <v>-1.1443793469821957</v>
      </c>
      <c r="D323" t="str">
        <f t="shared" ref="D323:D386" si="11">IF(ABS(C323) &gt; 2.5, "Outlier", "Normal")</f>
        <v>Normal</v>
      </c>
    </row>
    <row r="324" spans="1:4" x14ac:dyDescent="0.25">
      <c r="A324">
        <v>3.43</v>
      </c>
      <c r="C324">
        <f t="shared" si="10"/>
        <v>9.1837395711193343E-2</v>
      </c>
      <c r="D324" t="str">
        <f t="shared" si="11"/>
        <v>Normal</v>
      </c>
    </row>
    <row r="325" spans="1:4" x14ac:dyDescent="0.25">
      <c r="A325">
        <v>-2.64</v>
      </c>
      <c r="C325">
        <f t="shared" si="10"/>
        <v>-0.95472266400273564</v>
      </c>
      <c r="D325" t="str">
        <f t="shared" si="11"/>
        <v>Normal</v>
      </c>
    </row>
    <row r="326" spans="1:4" x14ac:dyDescent="0.25">
      <c r="A326">
        <v>-2.19</v>
      </c>
      <c r="C326">
        <f t="shared" si="10"/>
        <v>-0.87713583914750204</v>
      </c>
      <c r="D326" t="str">
        <f t="shared" si="11"/>
        <v>Normal</v>
      </c>
    </row>
    <row r="327" spans="1:4" x14ac:dyDescent="0.25">
      <c r="A327">
        <v>4.1399999999999997</v>
      </c>
      <c r="C327">
        <f t="shared" si="10"/>
        <v>0.21425216381611739</v>
      </c>
      <c r="D327" t="str">
        <f t="shared" si="11"/>
        <v>Normal</v>
      </c>
    </row>
    <row r="328" spans="1:4" x14ac:dyDescent="0.25">
      <c r="A328">
        <v>-3.59</v>
      </c>
      <c r="C328">
        <f t="shared" si="10"/>
        <v>-1.1185170720304511</v>
      </c>
      <c r="D328" t="str">
        <f t="shared" si="11"/>
        <v>Normal</v>
      </c>
    </row>
    <row r="329" spans="1:4" x14ac:dyDescent="0.25">
      <c r="A329">
        <v>0.96</v>
      </c>
      <c r="C329">
        <f t="shared" si="10"/>
        <v>-0.33402806516086675</v>
      </c>
      <c r="D329" t="str">
        <f t="shared" si="11"/>
        <v>Normal</v>
      </c>
    </row>
    <row r="330" spans="1:4" x14ac:dyDescent="0.25">
      <c r="A330">
        <v>-0.67</v>
      </c>
      <c r="C330">
        <f t="shared" si="10"/>
        <v>-0.61506478630315731</v>
      </c>
      <c r="D330" t="str">
        <f t="shared" si="11"/>
        <v>Normal</v>
      </c>
    </row>
    <row r="331" spans="1:4" x14ac:dyDescent="0.25">
      <c r="A331">
        <v>0.17</v>
      </c>
      <c r="C331">
        <f t="shared" si="10"/>
        <v>-0.47023604657338797</v>
      </c>
      <c r="D331" t="str">
        <f t="shared" si="11"/>
        <v>Normal</v>
      </c>
    </row>
    <row r="332" spans="1:4" x14ac:dyDescent="0.25">
      <c r="A332">
        <v>-3.68</v>
      </c>
      <c r="C332">
        <f t="shared" si="10"/>
        <v>-1.1340344370014979</v>
      </c>
      <c r="D332" t="str">
        <f t="shared" si="11"/>
        <v>Normal</v>
      </c>
    </row>
    <row r="333" spans="1:4" x14ac:dyDescent="0.25">
      <c r="A333">
        <v>1.05</v>
      </c>
      <c r="C333">
        <f t="shared" si="10"/>
        <v>-0.31851070018981997</v>
      </c>
      <c r="D333" t="str">
        <f t="shared" si="11"/>
        <v>Normal</v>
      </c>
    </row>
    <row r="334" spans="1:4" x14ac:dyDescent="0.25">
      <c r="A334">
        <v>-3.58</v>
      </c>
      <c r="C334">
        <f t="shared" si="10"/>
        <v>-1.1167929203670015</v>
      </c>
      <c r="D334" t="str">
        <f t="shared" si="11"/>
        <v>Normal</v>
      </c>
    </row>
    <row r="335" spans="1:4" x14ac:dyDescent="0.25">
      <c r="A335">
        <v>1.67</v>
      </c>
      <c r="C335">
        <f t="shared" si="10"/>
        <v>-0.21161329705594259</v>
      </c>
      <c r="D335" t="str">
        <f t="shared" si="11"/>
        <v>Normal</v>
      </c>
    </row>
    <row r="336" spans="1:4" x14ac:dyDescent="0.25">
      <c r="A336">
        <v>1.25</v>
      </c>
      <c r="C336">
        <f t="shared" si="10"/>
        <v>-0.28402766692082732</v>
      </c>
      <c r="D336" t="str">
        <f t="shared" si="11"/>
        <v>Normal</v>
      </c>
    </row>
    <row r="337" spans="1:4" x14ac:dyDescent="0.25">
      <c r="A337">
        <v>-1.1000000000000001</v>
      </c>
      <c r="C337">
        <f t="shared" si="10"/>
        <v>-0.68920330783149175</v>
      </c>
      <c r="D337" t="str">
        <f t="shared" si="11"/>
        <v>Normal</v>
      </c>
    </row>
    <row r="338" spans="1:4" x14ac:dyDescent="0.25">
      <c r="A338">
        <v>-1.66</v>
      </c>
      <c r="C338">
        <f t="shared" si="10"/>
        <v>-0.78575580098467124</v>
      </c>
      <c r="D338" t="str">
        <f t="shared" si="11"/>
        <v>Normal</v>
      </c>
    </row>
    <row r="339" spans="1:4" x14ac:dyDescent="0.25">
      <c r="A339">
        <v>1.38</v>
      </c>
      <c r="C339">
        <f t="shared" si="10"/>
        <v>-0.26161369529598205</v>
      </c>
      <c r="D339" t="str">
        <f t="shared" si="11"/>
        <v>Normal</v>
      </c>
    </row>
    <row r="340" spans="1:4" x14ac:dyDescent="0.25">
      <c r="A340">
        <v>-1.65</v>
      </c>
      <c r="C340">
        <f t="shared" si="10"/>
        <v>-0.7840316493212216</v>
      </c>
      <c r="D340" t="str">
        <f t="shared" si="11"/>
        <v>Normal</v>
      </c>
    </row>
    <row r="341" spans="1:4" x14ac:dyDescent="0.25">
      <c r="A341">
        <v>0.75</v>
      </c>
      <c r="C341">
        <f t="shared" si="10"/>
        <v>-0.3702352500933091</v>
      </c>
      <c r="D341" t="str">
        <f t="shared" si="11"/>
        <v>Normal</v>
      </c>
    </row>
    <row r="342" spans="1:4" x14ac:dyDescent="0.25">
      <c r="A342">
        <v>4.62</v>
      </c>
      <c r="C342">
        <f t="shared" si="10"/>
        <v>0.29701144366170001</v>
      </c>
      <c r="D342" t="str">
        <f t="shared" si="11"/>
        <v>Normal</v>
      </c>
    </row>
    <row r="343" spans="1:4" x14ac:dyDescent="0.25">
      <c r="A343">
        <v>-4.66</v>
      </c>
      <c r="C343">
        <f t="shared" si="10"/>
        <v>-1.3030013000195622</v>
      </c>
      <c r="D343" t="str">
        <f t="shared" si="11"/>
        <v>Normal</v>
      </c>
    </row>
    <row r="344" spans="1:4" x14ac:dyDescent="0.25">
      <c r="A344">
        <v>0.87</v>
      </c>
      <c r="C344">
        <f t="shared" si="10"/>
        <v>-0.34954543013191341</v>
      </c>
      <c r="D344" t="str">
        <f t="shared" si="11"/>
        <v>Normal</v>
      </c>
    </row>
    <row r="345" spans="1:4" x14ac:dyDescent="0.25">
      <c r="A345">
        <v>3.88</v>
      </c>
      <c r="C345">
        <f t="shared" si="10"/>
        <v>0.16942422056642689</v>
      </c>
      <c r="D345" t="str">
        <f t="shared" si="11"/>
        <v>Normal</v>
      </c>
    </row>
    <row r="346" spans="1:4" x14ac:dyDescent="0.25">
      <c r="A346">
        <v>1.94</v>
      </c>
      <c r="C346">
        <f t="shared" si="10"/>
        <v>-0.16506120214280243</v>
      </c>
      <c r="D346" t="str">
        <f t="shared" si="11"/>
        <v>Normal</v>
      </c>
    </row>
    <row r="347" spans="1:4" x14ac:dyDescent="0.25">
      <c r="A347">
        <v>-2.29</v>
      </c>
      <c r="C347">
        <f t="shared" si="10"/>
        <v>-0.89437735578199828</v>
      </c>
      <c r="D347" t="str">
        <f t="shared" si="11"/>
        <v>Normal</v>
      </c>
    </row>
    <row r="348" spans="1:4" x14ac:dyDescent="0.25">
      <c r="A348">
        <v>-0.45</v>
      </c>
      <c r="C348">
        <f t="shared" si="10"/>
        <v>-0.57713344970726543</v>
      </c>
      <c r="D348" t="str">
        <f t="shared" si="11"/>
        <v>Normal</v>
      </c>
    </row>
    <row r="349" spans="1:4" x14ac:dyDescent="0.25">
      <c r="A349">
        <v>2.5299999999999998</v>
      </c>
      <c r="C349">
        <f t="shared" si="10"/>
        <v>-6.333625399927395E-2</v>
      </c>
      <c r="D349" t="str">
        <f t="shared" si="11"/>
        <v>Normal</v>
      </c>
    </row>
    <row r="350" spans="1:4" x14ac:dyDescent="0.25">
      <c r="A350">
        <v>2.4500000000000002</v>
      </c>
      <c r="C350">
        <f t="shared" si="10"/>
        <v>-7.7129467306870966E-2</v>
      </c>
      <c r="D350" t="str">
        <f t="shared" si="11"/>
        <v>Normal</v>
      </c>
    </row>
    <row r="351" spans="1:4" x14ac:dyDescent="0.25">
      <c r="A351">
        <v>-4.59</v>
      </c>
      <c r="C351">
        <f t="shared" si="10"/>
        <v>-1.2909322383754147</v>
      </c>
      <c r="D351" t="str">
        <f t="shared" si="11"/>
        <v>Normal</v>
      </c>
    </row>
    <row r="352" spans="1:4" x14ac:dyDescent="0.25">
      <c r="A352">
        <v>-4.8499999999999996</v>
      </c>
      <c r="C352">
        <f t="shared" si="10"/>
        <v>-1.3357601816251052</v>
      </c>
      <c r="D352" t="str">
        <f t="shared" si="11"/>
        <v>Normal</v>
      </c>
    </row>
    <row r="353" spans="1:4" x14ac:dyDescent="0.25">
      <c r="A353">
        <v>-4.8600000000000003</v>
      </c>
      <c r="C353">
        <f t="shared" si="10"/>
        <v>-1.3374843332885546</v>
      </c>
      <c r="D353" t="str">
        <f t="shared" si="11"/>
        <v>Normal</v>
      </c>
    </row>
    <row r="354" spans="1:4" x14ac:dyDescent="0.25">
      <c r="A354">
        <v>0.55000000000000004</v>
      </c>
      <c r="C354">
        <f t="shared" si="10"/>
        <v>-0.40471828336230176</v>
      </c>
      <c r="D354" t="str">
        <f t="shared" si="11"/>
        <v>Normal</v>
      </c>
    </row>
    <row r="355" spans="1:4" x14ac:dyDescent="0.25">
      <c r="A355">
        <v>-0.68</v>
      </c>
      <c r="C355">
        <f t="shared" si="10"/>
        <v>-0.61678893796660705</v>
      </c>
      <c r="D355" t="str">
        <f t="shared" si="11"/>
        <v>Normal</v>
      </c>
    </row>
    <row r="356" spans="1:4" x14ac:dyDescent="0.25">
      <c r="A356">
        <v>-1.68</v>
      </c>
      <c r="C356">
        <f t="shared" si="10"/>
        <v>-0.78920410431157062</v>
      </c>
      <c r="D356" t="str">
        <f t="shared" si="11"/>
        <v>Normal</v>
      </c>
    </row>
    <row r="357" spans="1:4" x14ac:dyDescent="0.25">
      <c r="A357">
        <v>4.3499999999999996</v>
      </c>
      <c r="C357">
        <f t="shared" si="10"/>
        <v>0.25045934874855974</v>
      </c>
      <c r="D357" t="str">
        <f t="shared" si="11"/>
        <v>Normal</v>
      </c>
    </row>
    <row r="358" spans="1:4" x14ac:dyDescent="0.25">
      <c r="A358">
        <v>0.85</v>
      </c>
      <c r="C358">
        <f t="shared" si="10"/>
        <v>-0.35299373345881269</v>
      </c>
      <c r="D358" t="str">
        <f t="shared" si="11"/>
        <v>Normal</v>
      </c>
    </row>
    <row r="359" spans="1:4" x14ac:dyDescent="0.25">
      <c r="A359">
        <v>-2.38</v>
      </c>
      <c r="C359">
        <f t="shared" si="10"/>
        <v>-0.90989472075304501</v>
      </c>
      <c r="D359" t="str">
        <f t="shared" si="11"/>
        <v>Normal</v>
      </c>
    </row>
    <row r="360" spans="1:4" x14ac:dyDescent="0.25">
      <c r="A360">
        <v>4.57</v>
      </c>
      <c r="C360">
        <f t="shared" si="10"/>
        <v>0.28839068534445184</v>
      </c>
      <c r="D360" t="str">
        <f t="shared" si="11"/>
        <v>Normal</v>
      </c>
    </row>
    <row r="361" spans="1:4" x14ac:dyDescent="0.25">
      <c r="A361">
        <v>2.4900000000000002</v>
      </c>
      <c r="C361">
        <f t="shared" si="10"/>
        <v>-7.0232860653072424E-2</v>
      </c>
      <c r="D361" t="str">
        <f t="shared" si="11"/>
        <v>Normal</v>
      </c>
    </row>
    <row r="362" spans="1:4" x14ac:dyDescent="0.25">
      <c r="A362">
        <v>4.1399999999999997</v>
      </c>
      <c r="C362">
        <f t="shared" si="10"/>
        <v>0.21425216381611739</v>
      </c>
      <c r="D362" t="str">
        <f t="shared" si="11"/>
        <v>Normal</v>
      </c>
    </row>
    <row r="363" spans="1:4" x14ac:dyDescent="0.25">
      <c r="A363">
        <v>-2.2799999999999998</v>
      </c>
      <c r="C363">
        <f t="shared" si="10"/>
        <v>-0.89265320411854865</v>
      </c>
      <c r="D363" t="str">
        <f t="shared" si="11"/>
        <v>Normal</v>
      </c>
    </row>
    <row r="364" spans="1:4" x14ac:dyDescent="0.25">
      <c r="A364">
        <v>3.58</v>
      </c>
      <c r="C364">
        <f t="shared" si="10"/>
        <v>0.11769967066293786</v>
      </c>
      <c r="D364" t="str">
        <f t="shared" si="11"/>
        <v>Normal</v>
      </c>
    </row>
    <row r="365" spans="1:4" x14ac:dyDescent="0.25">
      <c r="A365">
        <v>4.37</v>
      </c>
      <c r="C365">
        <f t="shared" si="10"/>
        <v>0.25390765207545907</v>
      </c>
      <c r="D365" t="str">
        <f t="shared" si="11"/>
        <v>Normal</v>
      </c>
    </row>
    <row r="366" spans="1:4" x14ac:dyDescent="0.25">
      <c r="A366">
        <v>4.76</v>
      </c>
      <c r="C366">
        <f t="shared" si="10"/>
        <v>0.32114956694999486</v>
      </c>
      <c r="D366" t="str">
        <f t="shared" si="11"/>
        <v>Normal</v>
      </c>
    </row>
    <row r="367" spans="1:4" x14ac:dyDescent="0.25">
      <c r="A367">
        <v>2.2799999999999998</v>
      </c>
      <c r="C367">
        <f t="shared" si="10"/>
        <v>-0.10644004558551484</v>
      </c>
      <c r="D367" t="str">
        <f t="shared" si="11"/>
        <v>Normal</v>
      </c>
    </row>
    <row r="368" spans="1:4" x14ac:dyDescent="0.25">
      <c r="A368">
        <v>4.4000000000000004</v>
      </c>
      <c r="C368">
        <f t="shared" si="10"/>
        <v>0.25908010706580803</v>
      </c>
      <c r="D368" t="str">
        <f t="shared" si="11"/>
        <v>Normal</v>
      </c>
    </row>
    <row r="369" spans="1:4" x14ac:dyDescent="0.25">
      <c r="A369">
        <v>1.19</v>
      </c>
      <c r="C369">
        <f t="shared" si="10"/>
        <v>-0.29437257690152513</v>
      </c>
      <c r="D369" t="str">
        <f t="shared" si="11"/>
        <v>Normal</v>
      </c>
    </row>
    <row r="370" spans="1:4" x14ac:dyDescent="0.25">
      <c r="A370">
        <v>-0.27</v>
      </c>
      <c r="C370">
        <f t="shared" si="10"/>
        <v>-0.54609871976517199</v>
      </c>
      <c r="D370" t="str">
        <f t="shared" si="11"/>
        <v>Normal</v>
      </c>
    </row>
    <row r="371" spans="1:4" x14ac:dyDescent="0.25">
      <c r="A371">
        <v>-4.26</v>
      </c>
      <c r="C371">
        <f t="shared" si="10"/>
        <v>-1.2340352334815767</v>
      </c>
      <c r="D371" t="str">
        <f t="shared" si="11"/>
        <v>Normal</v>
      </c>
    </row>
    <row r="372" spans="1:4" x14ac:dyDescent="0.25">
      <c r="A372">
        <v>-3.81</v>
      </c>
      <c r="C372">
        <f t="shared" si="10"/>
        <v>-1.1564484086263429</v>
      </c>
      <c r="D372" t="str">
        <f t="shared" si="11"/>
        <v>Normal</v>
      </c>
    </row>
    <row r="373" spans="1:4" x14ac:dyDescent="0.25">
      <c r="A373">
        <v>-1.48</v>
      </c>
      <c r="C373">
        <f t="shared" si="10"/>
        <v>-0.75472107104257791</v>
      </c>
      <c r="D373" t="str">
        <f t="shared" si="11"/>
        <v>Normal</v>
      </c>
    </row>
    <row r="374" spans="1:4" x14ac:dyDescent="0.25">
      <c r="A374">
        <v>0.98</v>
      </c>
      <c r="C374">
        <f t="shared" si="10"/>
        <v>-0.33057976183396748</v>
      </c>
      <c r="D374" t="str">
        <f t="shared" si="11"/>
        <v>Normal</v>
      </c>
    </row>
    <row r="375" spans="1:4" x14ac:dyDescent="0.25">
      <c r="A375">
        <v>-3.6</v>
      </c>
      <c r="C375">
        <f t="shared" si="10"/>
        <v>-1.1202412236939008</v>
      </c>
      <c r="D375" t="str">
        <f t="shared" si="11"/>
        <v>Normal</v>
      </c>
    </row>
    <row r="376" spans="1:4" x14ac:dyDescent="0.25">
      <c r="A376">
        <v>4.7</v>
      </c>
      <c r="C376">
        <f t="shared" si="10"/>
        <v>0.3108046569692971</v>
      </c>
      <c r="D376" t="str">
        <f t="shared" si="11"/>
        <v>Normal</v>
      </c>
    </row>
    <row r="377" spans="1:4" x14ac:dyDescent="0.25">
      <c r="A377">
        <v>4.1399999999999997</v>
      </c>
      <c r="C377">
        <f t="shared" si="10"/>
        <v>0.21425216381611739</v>
      </c>
      <c r="D377" t="str">
        <f t="shared" si="11"/>
        <v>Normal</v>
      </c>
    </row>
    <row r="378" spans="1:4" x14ac:dyDescent="0.25">
      <c r="A378">
        <v>4.38</v>
      </c>
      <c r="C378">
        <f t="shared" si="10"/>
        <v>0.2556318037389087</v>
      </c>
      <c r="D378" t="str">
        <f t="shared" si="11"/>
        <v>Normal</v>
      </c>
    </row>
    <row r="379" spans="1:4" x14ac:dyDescent="0.25">
      <c r="A379">
        <v>4.84</v>
      </c>
      <c r="C379">
        <f t="shared" si="10"/>
        <v>0.33494278025759194</v>
      </c>
      <c r="D379" t="str">
        <f t="shared" si="11"/>
        <v>Normal</v>
      </c>
    </row>
    <row r="380" spans="1:4" x14ac:dyDescent="0.25">
      <c r="A380">
        <v>-4.43</v>
      </c>
      <c r="C380">
        <f t="shared" si="10"/>
        <v>-1.2633458117602205</v>
      </c>
      <c r="D380" t="str">
        <f t="shared" si="11"/>
        <v>Normal</v>
      </c>
    </row>
    <row r="381" spans="1:4" x14ac:dyDescent="0.25">
      <c r="A381">
        <v>4.51</v>
      </c>
      <c r="C381">
        <f t="shared" si="10"/>
        <v>0.27804577536375397</v>
      </c>
      <c r="D381" t="str">
        <f t="shared" si="11"/>
        <v>Normal</v>
      </c>
    </row>
    <row r="382" spans="1:4" x14ac:dyDescent="0.25">
      <c r="A382">
        <v>3.55</v>
      </c>
      <c r="C382">
        <f t="shared" si="10"/>
        <v>0.11252721567258891</v>
      </c>
      <c r="D382" t="str">
        <f t="shared" si="11"/>
        <v>Normal</v>
      </c>
    </row>
    <row r="383" spans="1:4" x14ac:dyDescent="0.25">
      <c r="A383">
        <v>0.3</v>
      </c>
      <c r="C383">
        <f t="shared" si="10"/>
        <v>-0.4478220749485427</v>
      </c>
      <c r="D383" t="str">
        <f t="shared" si="11"/>
        <v>Normal</v>
      </c>
    </row>
    <row r="384" spans="1:4" x14ac:dyDescent="0.25">
      <c r="A384">
        <v>1.91</v>
      </c>
      <c r="C384">
        <f t="shared" si="10"/>
        <v>-0.17023365713315133</v>
      </c>
      <c r="D384" t="str">
        <f t="shared" si="11"/>
        <v>Normal</v>
      </c>
    </row>
    <row r="385" spans="1:4" x14ac:dyDescent="0.25">
      <c r="A385">
        <v>-4.97</v>
      </c>
      <c r="C385">
        <f t="shared" si="10"/>
        <v>-1.3564500015865006</v>
      </c>
      <c r="D385" t="str">
        <f t="shared" si="11"/>
        <v>Normal</v>
      </c>
    </row>
    <row r="386" spans="1:4" x14ac:dyDescent="0.25">
      <c r="A386">
        <v>-1.91</v>
      </c>
      <c r="C386">
        <f t="shared" si="10"/>
        <v>-0.82885959257091213</v>
      </c>
      <c r="D386" t="str">
        <f t="shared" si="11"/>
        <v>Normal</v>
      </c>
    </row>
    <row r="387" spans="1:4" x14ac:dyDescent="0.25">
      <c r="A387">
        <v>-3.8</v>
      </c>
      <c r="C387">
        <f t="shared" ref="C387:C450" si="12">(A387 - $B$5) / $B$7</f>
        <v>-1.1547242569628933</v>
      </c>
      <c r="D387" t="str">
        <f t="shared" ref="D387:D450" si="13">IF(ABS(C387) &gt; 2.5, "Outlier", "Normal")</f>
        <v>Normal</v>
      </c>
    </row>
    <row r="388" spans="1:4" x14ac:dyDescent="0.25">
      <c r="A388">
        <v>2.95</v>
      </c>
      <c r="C388">
        <f t="shared" si="12"/>
        <v>9.0781158656108238E-3</v>
      </c>
      <c r="D388" t="str">
        <f t="shared" si="13"/>
        <v>Normal</v>
      </c>
    </row>
    <row r="389" spans="1:4" x14ac:dyDescent="0.25">
      <c r="A389">
        <v>-4.33</v>
      </c>
      <c r="C389">
        <f t="shared" si="12"/>
        <v>-1.2461042951257242</v>
      </c>
      <c r="D389" t="str">
        <f t="shared" si="13"/>
        <v>Normal</v>
      </c>
    </row>
    <row r="390" spans="1:4" x14ac:dyDescent="0.25">
      <c r="A390">
        <v>4.41</v>
      </c>
      <c r="C390">
        <f t="shared" si="12"/>
        <v>0.26080425872925767</v>
      </c>
      <c r="D390" t="str">
        <f t="shared" si="13"/>
        <v>Normal</v>
      </c>
    </row>
    <row r="391" spans="1:4" x14ac:dyDescent="0.25">
      <c r="A391">
        <v>-3.57</v>
      </c>
      <c r="C391">
        <f t="shared" si="12"/>
        <v>-1.1150687687035516</v>
      </c>
      <c r="D391" t="str">
        <f t="shared" si="13"/>
        <v>Normal</v>
      </c>
    </row>
    <row r="392" spans="1:4" x14ac:dyDescent="0.25">
      <c r="A392">
        <v>-2.92</v>
      </c>
      <c r="C392">
        <f t="shared" si="12"/>
        <v>-1.0029989105793256</v>
      </c>
      <c r="D392" t="str">
        <f t="shared" si="13"/>
        <v>Normal</v>
      </c>
    </row>
    <row r="393" spans="1:4" x14ac:dyDescent="0.25">
      <c r="A393">
        <v>-3.81</v>
      </c>
      <c r="C393">
        <f t="shared" si="12"/>
        <v>-1.1564484086263429</v>
      </c>
      <c r="D393" t="str">
        <f t="shared" si="13"/>
        <v>Normal</v>
      </c>
    </row>
    <row r="394" spans="1:4" x14ac:dyDescent="0.25">
      <c r="A394">
        <v>0.33</v>
      </c>
      <c r="C394">
        <f t="shared" si="12"/>
        <v>-0.4426496199581938</v>
      </c>
      <c r="D394" t="str">
        <f t="shared" si="13"/>
        <v>Normal</v>
      </c>
    </row>
    <row r="395" spans="1:4" x14ac:dyDescent="0.25">
      <c r="A395">
        <v>-2.71</v>
      </c>
      <c r="C395">
        <f t="shared" si="12"/>
        <v>-0.96679172564688298</v>
      </c>
      <c r="D395" t="str">
        <f t="shared" si="13"/>
        <v>Normal</v>
      </c>
    </row>
    <row r="396" spans="1:4" x14ac:dyDescent="0.25">
      <c r="A396">
        <v>0.1</v>
      </c>
      <c r="C396">
        <f t="shared" si="12"/>
        <v>-0.48230510821753542</v>
      </c>
      <c r="D396" t="str">
        <f t="shared" si="13"/>
        <v>Normal</v>
      </c>
    </row>
    <row r="397" spans="1:4" x14ac:dyDescent="0.25">
      <c r="A397">
        <v>3.31</v>
      </c>
      <c r="C397">
        <f t="shared" si="12"/>
        <v>7.1147575749797687E-2</v>
      </c>
      <c r="D397" t="str">
        <f t="shared" si="13"/>
        <v>Normal</v>
      </c>
    </row>
    <row r="398" spans="1:4" x14ac:dyDescent="0.25">
      <c r="A398">
        <v>2.2999999999999998</v>
      </c>
      <c r="C398">
        <f t="shared" si="12"/>
        <v>-0.10299174225861557</v>
      </c>
      <c r="D398" t="str">
        <f t="shared" si="13"/>
        <v>Normal</v>
      </c>
    </row>
    <row r="399" spans="1:4" x14ac:dyDescent="0.25">
      <c r="A399">
        <v>-4.74</v>
      </c>
      <c r="C399">
        <f t="shared" si="12"/>
        <v>-1.3167945133271592</v>
      </c>
      <c r="D399" t="str">
        <f t="shared" si="13"/>
        <v>Normal</v>
      </c>
    </row>
    <row r="400" spans="1:4" x14ac:dyDescent="0.25">
      <c r="A400">
        <v>2.96</v>
      </c>
      <c r="C400">
        <f t="shared" si="12"/>
        <v>1.0802267529060423E-2</v>
      </c>
      <c r="D400" t="str">
        <f t="shared" si="13"/>
        <v>Normal</v>
      </c>
    </row>
    <row r="401" spans="1:4" x14ac:dyDescent="0.25">
      <c r="A401">
        <v>-3.66</v>
      </c>
      <c r="C401">
        <f t="shared" si="12"/>
        <v>-1.1305861336745986</v>
      </c>
      <c r="D401" t="str">
        <f t="shared" si="13"/>
        <v>Normal</v>
      </c>
    </row>
    <row r="402" spans="1:4" x14ac:dyDescent="0.25">
      <c r="A402">
        <v>3.94</v>
      </c>
      <c r="C402">
        <f t="shared" si="12"/>
        <v>0.17976913054712473</v>
      </c>
      <c r="D402" t="str">
        <f t="shared" si="13"/>
        <v>Normal</v>
      </c>
    </row>
    <row r="403" spans="1:4" x14ac:dyDescent="0.25">
      <c r="A403">
        <v>1.67</v>
      </c>
      <c r="C403">
        <f t="shared" si="12"/>
        <v>-0.21161329705594259</v>
      </c>
      <c r="D403" t="str">
        <f t="shared" si="13"/>
        <v>Normal</v>
      </c>
    </row>
    <row r="404" spans="1:4" x14ac:dyDescent="0.25">
      <c r="A404">
        <v>4.7</v>
      </c>
      <c r="C404">
        <f t="shared" si="12"/>
        <v>0.3108046569692971</v>
      </c>
      <c r="D404" t="str">
        <f t="shared" si="13"/>
        <v>Normal</v>
      </c>
    </row>
    <row r="405" spans="1:4" x14ac:dyDescent="0.25">
      <c r="A405">
        <v>-4.8099999999999996</v>
      </c>
      <c r="C405">
        <f t="shared" si="12"/>
        <v>-1.3288635749713065</v>
      </c>
      <c r="D405" t="str">
        <f t="shared" si="13"/>
        <v>Normal</v>
      </c>
    </row>
    <row r="406" spans="1:4" x14ac:dyDescent="0.25">
      <c r="A406">
        <v>-4.01</v>
      </c>
      <c r="C406">
        <f t="shared" si="12"/>
        <v>-1.1909314418953358</v>
      </c>
      <c r="D406" t="str">
        <f t="shared" si="13"/>
        <v>Normal</v>
      </c>
    </row>
    <row r="407" spans="1:4" x14ac:dyDescent="0.25">
      <c r="A407">
        <v>-3.4</v>
      </c>
      <c r="C407">
        <f t="shared" si="12"/>
        <v>-1.0857581904249078</v>
      </c>
      <c r="D407" t="str">
        <f t="shared" si="13"/>
        <v>Normal</v>
      </c>
    </row>
    <row r="408" spans="1:4" x14ac:dyDescent="0.25">
      <c r="A408">
        <v>-2.2599999999999998</v>
      </c>
      <c r="C408">
        <f t="shared" si="12"/>
        <v>-0.88920490079164949</v>
      </c>
      <c r="D408" t="str">
        <f t="shared" si="13"/>
        <v>Normal</v>
      </c>
    </row>
    <row r="409" spans="1:4" x14ac:dyDescent="0.25">
      <c r="A409">
        <v>0.7</v>
      </c>
      <c r="C409">
        <f t="shared" si="12"/>
        <v>-0.37885600841055733</v>
      </c>
      <c r="D409" t="str">
        <f t="shared" si="13"/>
        <v>Normal</v>
      </c>
    </row>
    <row r="410" spans="1:4" x14ac:dyDescent="0.25">
      <c r="A410">
        <v>0.19</v>
      </c>
      <c r="C410">
        <f t="shared" si="12"/>
        <v>-0.4667877432464887</v>
      </c>
      <c r="D410" t="str">
        <f t="shared" si="13"/>
        <v>Normal</v>
      </c>
    </row>
    <row r="411" spans="1:4" x14ac:dyDescent="0.25">
      <c r="A411">
        <v>0.75</v>
      </c>
      <c r="C411">
        <f t="shared" si="12"/>
        <v>-0.3702352500933091</v>
      </c>
      <c r="D411" t="str">
        <f t="shared" si="13"/>
        <v>Normal</v>
      </c>
    </row>
    <row r="412" spans="1:4" x14ac:dyDescent="0.25">
      <c r="A412">
        <v>-2.87</v>
      </c>
      <c r="C412">
        <f t="shared" si="12"/>
        <v>-0.99437815226207715</v>
      </c>
      <c r="D412" t="str">
        <f t="shared" si="13"/>
        <v>Normal</v>
      </c>
    </row>
    <row r="413" spans="1:4" x14ac:dyDescent="0.25">
      <c r="A413">
        <v>-4.68</v>
      </c>
      <c r="C413">
        <f t="shared" si="12"/>
        <v>-1.3064496033464614</v>
      </c>
      <c r="D413" t="str">
        <f t="shared" si="13"/>
        <v>Normal</v>
      </c>
    </row>
    <row r="414" spans="1:4" x14ac:dyDescent="0.25">
      <c r="A414">
        <v>4.8</v>
      </c>
      <c r="C414">
        <f t="shared" si="12"/>
        <v>0.3280461736037934</v>
      </c>
      <c r="D414" t="str">
        <f t="shared" si="13"/>
        <v>Normal</v>
      </c>
    </row>
    <row r="415" spans="1:4" x14ac:dyDescent="0.25">
      <c r="A415">
        <v>-1.57</v>
      </c>
      <c r="C415">
        <f t="shared" si="12"/>
        <v>-0.77023843601362452</v>
      </c>
      <c r="D415" t="str">
        <f t="shared" si="13"/>
        <v>Normal</v>
      </c>
    </row>
    <row r="416" spans="1:4" x14ac:dyDescent="0.25">
      <c r="A416">
        <v>-3.52</v>
      </c>
      <c r="C416">
        <f t="shared" si="12"/>
        <v>-1.1064480103863035</v>
      </c>
      <c r="D416" t="str">
        <f t="shared" si="13"/>
        <v>Normal</v>
      </c>
    </row>
    <row r="417" spans="1:4" x14ac:dyDescent="0.25">
      <c r="A417">
        <v>-4.9000000000000004</v>
      </c>
      <c r="C417">
        <f t="shared" si="12"/>
        <v>-1.3443809399423534</v>
      </c>
      <c r="D417" t="str">
        <f t="shared" si="13"/>
        <v>Normal</v>
      </c>
    </row>
    <row r="418" spans="1:4" x14ac:dyDescent="0.25">
      <c r="A418">
        <v>-1.53</v>
      </c>
      <c r="C418">
        <f t="shared" si="12"/>
        <v>-0.76334182935982597</v>
      </c>
      <c r="D418" t="str">
        <f t="shared" si="13"/>
        <v>Normal</v>
      </c>
    </row>
    <row r="419" spans="1:4" x14ac:dyDescent="0.25">
      <c r="A419">
        <v>4.5999999999999996</v>
      </c>
      <c r="C419">
        <f t="shared" si="12"/>
        <v>0.29356314033480063</v>
      </c>
      <c r="D419" t="str">
        <f t="shared" si="13"/>
        <v>Normal</v>
      </c>
    </row>
    <row r="420" spans="1:4" x14ac:dyDescent="0.25">
      <c r="A420">
        <v>-4.33</v>
      </c>
      <c r="C420">
        <f t="shared" si="12"/>
        <v>-1.2461042951257242</v>
      </c>
      <c r="D420" t="str">
        <f t="shared" si="13"/>
        <v>Normal</v>
      </c>
    </row>
    <row r="421" spans="1:4" x14ac:dyDescent="0.25">
      <c r="A421">
        <v>-1.01</v>
      </c>
      <c r="C421">
        <f t="shared" si="12"/>
        <v>-0.67368594286044503</v>
      </c>
      <c r="D421" t="str">
        <f t="shared" si="13"/>
        <v>Normal</v>
      </c>
    </row>
    <row r="422" spans="1:4" x14ac:dyDescent="0.25">
      <c r="A422">
        <v>-4.0599999999999996</v>
      </c>
      <c r="C422">
        <f t="shared" si="12"/>
        <v>-1.1995522002125838</v>
      </c>
      <c r="D422" t="str">
        <f t="shared" si="13"/>
        <v>Normal</v>
      </c>
    </row>
    <row r="423" spans="1:4" x14ac:dyDescent="0.25">
      <c r="A423">
        <v>1.59</v>
      </c>
      <c r="C423">
        <f t="shared" si="12"/>
        <v>-0.22540651036353967</v>
      </c>
      <c r="D423" t="str">
        <f t="shared" si="13"/>
        <v>Normal</v>
      </c>
    </row>
    <row r="424" spans="1:4" x14ac:dyDescent="0.25">
      <c r="A424">
        <v>1.03</v>
      </c>
      <c r="C424">
        <f t="shared" si="12"/>
        <v>-0.3219590035167193</v>
      </c>
      <c r="D424" t="str">
        <f t="shared" si="13"/>
        <v>Normal</v>
      </c>
    </row>
    <row r="425" spans="1:4" x14ac:dyDescent="0.25">
      <c r="A425">
        <v>4.0199999999999996</v>
      </c>
      <c r="C425">
        <f t="shared" si="12"/>
        <v>0.19356234385472174</v>
      </c>
      <c r="D425" t="str">
        <f t="shared" si="13"/>
        <v>Normal</v>
      </c>
    </row>
    <row r="426" spans="1:4" x14ac:dyDescent="0.25">
      <c r="A426">
        <v>-2</v>
      </c>
      <c r="C426">
        <f t="shared" si="12"/>
        <v>-0.84437695754195896</v>
      </c>
      <c r="D426" t="str">
        <f t="shared" si="13"/>
        <v>Normal</v>
      </c>
    </row>
    <row r="427" spans="1:4" x14ac:dyDescent="0.25">
      <c r="A427">
        <v>-3.52</v>
      </c>
      <c r="C427">
        <f t="shared" si="12"/>
        <v>-1.1064480103863035</v>
      </c>
      <c r="D427" t="str">
        <f t="shared" si="13"/>
        <v>Normal</v>
      </c>
    </row>
    <row r="428" spans="1:4" x14ac:dyDescent="0.25">
      <c r="A428">
        <v>3.3</v>
      </c>
      <c r="C428">
        <f t="shared" si="12"/>
        <v>6.942342408634801E-2</v>
      </c>
      <c r="D428" t="str">
        <f t="shared" si="13"/>
        <v>Normal</v>
      </c>
    </row>
    <row r="429" spans="1:4" x14ac:dyDescent="0.25">
      <c r="A429">
        <v>4.47</v>
      </c>
      <c r="C429">
        <f t="shared" si="12"/>
        <v>0.27114916870995537</v>
      </c>
      <c r="D429" t="str">
        <f t="shared" si="13"/>
        <v>Normal</v>
      </c>
    </row>
    <row r="430" spans="1:4" x14ac:dyDescent="0.25">
      <c r="A430">
        <v>-0.91</v>
      </c>
      <c r="C430">
        <f t="shared" si="12"/>
        <v>-0.65644442622594867</v>
      </c>
      <c r="D430" t="str">
        <f t="shared" si="13"/>
        <v>Normal</v>
      </c>
    </row>
    <row r="431" spans="1:4" x14ac:dyDescent="0.25">
      <c r="A431">
        <v>-3.34</v>
      </c>
      <c r="C431">
        <f t="shared" si="12"/>
        <v>-1.0754132804442103</v>
      </c>
      <c r="D431" t="str">
        <f t="shared" si="13"/>
        <v>Normal</v>
      </c>
    </row>
    <row r="432" spans="1:4" x14ac:dyDescent="0.25">
      <c r="A432">
        <v>4.2699999999999996</v>
      </c>
      <c r="C432">
        <f t="shared" si="12"/>
        <v>0.23666613544096265</v>
      </c>
      <c r="D432" t="str">
        <f t="shared" si="13"/>
        <v>Normal</v>
      </c>
    </row>
    <row r="433" spans="1:4" x14ac:dyDescent="0.25">
      <c r="A433">
        <v>0.26</v>
      </c>
      <c r="C433">
        <f t="shared" si="12"/>
        <v>-0.45471868160234119</v>
      </c>
      <c r="D433" t="str">
        <f t="shared" si="13"/>
        <v>Normal</v>
      </c>
    </row>
    <row r="434" spans="1:4" x14ac:dyDescent="0.25">
      <c r="A434">
        <v>2.37</v>
      </c>
      <c r="C434">
        <f t="shared" si="12"/>
        <v>-9.0922680614468065E-2</v>
      </c>
      <c r="D434" t="str">
        <f t="shared" si="13"/>
        <v>Normal</v>
      </c>
    </row>
    <row r="435" spans="1:4" x14ac:dyDescent="0.25">
      <c r="A435">
        <v>-4.18</v>
      </c>
      <c r="C435">
        <f t="shared" si="12"/>
        <v>-1.2202420201739796</v>
      </c>
      <c r="D435" t="str">
        <f t="shared" si="13"/>
        <v>Normal</v>
      </c>
    </row>
    <row r="436" spans="1:4" x14ac:dyDescent="0.25">
      <c r="A436">
        <v>2.63</v>
      </c>
      <c r="C436">
        <f t="shared" si="12"/>
        <v>-4.6094737364777573E-2</v>
      </c>
      <c r="D436" t="str">
        <f t="shared" si="13"/>
        <v>Normal</v>
      </c>
    </row>
    <row r="437" spans="1:4" x14ac:dyDescent="0.25">
      <c r="A437">
        <v>0.28000000000000003</v>
      </c>
      <c r="C437">
        <f t="shared" si="12"/>
        <v>-0.45127037827544197</v>
      </c>
      <c r="D437" t="str">
        <f t="shared" si="13"/>
        <v>Normal</v>
      </c>
    </row>
    <row r="438" spans="1:4" x14ac:dyDescent="0.25">
      <c r="A438">
        <v>4.3099999999999996</v>
      </c>
      <c r="C438">
        <f t="shared" si="12"/>
        <v>0.2435627420947612</v>
      </c>
      <c r="D438" t="str">
        <f t="shared" si="13"/>
        <v>Normal</v>
      </c>
    </row>
    <row r="439" spans="1:4" x14ac:dyDescent="0.25">
      <c r="A439">
        <v>2.4300000000000002</v>
      </c>
      <c r="C439">
        <f t="shared" si="12"/>
        <v>-8.0577770633770238E-2</v>
      </c>
      <c r="D439" t="str">
        <f t="shared" si="13"/>
        <v>Normal</v>
      </c>
    </row>
    <row r="440" spans="1:4" x14ac:dyDescent="0.25">
      <c r="A440">
        <v>0.73</v>
      </c>
      <c r="C440">
        <f t="shared" si="12"/>
        <v>-0.37368355342020837</v>
      </c>
      <c r="D440" t="str">
        <f t="shared" si="13"/>
        <v>Normal</v>
      </c>
    </row>
    <row r="441" spans="1:4" x14ac:dyDescent="0.25">
      <c r="A441">
        <v>-2.74</v>
      </c>
      <c r="C441">
        <f t="shared" si="12"/>
        <v>-0.97196418063723211</v>
      </c>
      <c r="D441" t="str">
        <f t="shared" si="13"/>
        <v>Normal</v>
      </c>
    </row>
    <row r="442" spans="1:4" x14ac:dyDescent="0.25">
      <c r="A442">
        <v>-2.27</v>
      </c>
      <c r="C442">
        <f t="shared" si="12"/>
        <v>-0.89092905245509912</v>
      </c>
      <c r="D442" t="str">
        <f t="shared" si="13"/>
        <v>Normal</v>
      </c>
    </row>
    <row r="443" spans="1:4" x14ac:dyDescent="0.25">
      <c r="A443">
        <v>1.35</v>
      </c>
      <c r="C443">
        <f t="shared" si="12"/>
        <v>-0.2667861502863309</v>
      </c>
      <c r="D443" t="str">
        <f t="shared" si="13"/>
        <v>Normal</v>
      </c>
    </row>
    <row r="444" spans="1:4" x14ac:dyDescent="0.25">
      <c r="A444">
        <v>-1.57</v>
      </c>
      <c r="C444">
        <f t="shared" si="12"/>
        <v>-0.77023843601362452</v>
      </c>
      <c r="D444" t="str">
        <f t="shared" si="13"/>
        <v>Normal</v>
      </c>
    </row>
    <row r="445" spans="1:4" x14ac:dyDescent="0.25">
      <c r="A445">
        <v>0.66</v>
      </c>
      <c r="C445">
        <f t="shared" si="12"/>
        <v>-0.38575261506435576</v>
      </c>
      <c r="D445" t="str">
        <f t="shared" si="13"/>
        <v>Normal</v>
      </c>
    </row>
    <row r="446" spans="1:4" x14ac:dyDescent="0.25">
      <c r="A446">
        <v>4.6100000000000003</v>
      </c>
      <c r="C446">
        <f t="shared" si="12"/>
        <v>0.29528729199825038</v>
      </c>
      <c r="D446" t="str">
        <f t="shared" si="13"/>
        <v>Normal</v>
      </c>
    </row>
    <row r="447" spans="1:4" x14ac:dyDescent="0.25">
      <c r="A447">
        <v>-0.71</v>
      </c>
      <c r="C447">
        <f t="shared" si="12"/>
        <v>-0.62196139295695585</v>
      </c>
      <c r="D447" t="str">
        <f t="shared" si="13"/>
        <v>Normal</v>
      </c>
    </row>
    <row r="448" spans="1:4" x14ac:dyDescent="0.25">
      <c r="A448">
        <v>-3.19</v>
      </c>
      <c r="C448">
        <f t="shared" si="12"/>
        <v>-1.0495510054924655</v>
      </c>
      <c r="D448" t="str">
        <f t="shared" si="13"/>
        <v>Normal</v>
      </c>
    </row>
    <row r="449" spans="1:4" x14ac:dyDescent="0.25">
      <c r="A449">
        <v>-1.7</v>
      </c>
      <c r="C449">
        <f t="shared" si="12"/>
        <v>-0.79265240763846978</v>
      </c>
      <c r="D449" t="str">
        <f t="shared" si="13"/>
        <v>Normal</v>
      </c>
    </row>
    <row r="450" spans="1:4" x14ac:dyDescent="0.25">
      <c r="A450">
        <v>1.72</v>
      </c>
      <c r="C450">
        <f t="shared" si="12"/>
        <v>-0.20299253873869441</v>
      </c>
      <c r="D450" t="str">
        <f t="shared" si="13"/>
        <v>Normal</v>
      </c>
    </row>
    <row r="451" spans="1:4" x14ac:dyDescent="0.25">
      <c r="A451">
        <v>-3.79</v>
      </c>
      <c r="C451">
        <f t="shared" ref="C451:C514" si="14">(A451 - $B$5) / $B$7</f>
        <v>-1.1530001052994436</v>
      </c>
      <c r="D451" t="str">
        <f t="shared" ref="D451:D514" si="15">IF(ABS(C451) &gt; 2.5, "Outlier", "Normal")</f>
        <v>Normal</v>
      </c>
    </row>
    <row r="452" spans="1:4" x14ac:dyDescent="0.25">
      <c r="A452">
        <v>1.1000000000000001</v>
      </c>
      <c r="C452">
        <f t="shared" si="14"/>
        <v>-0.30988994187257179</v>
      </c>
      <c r="D452" t="str">
        <f t="shared" si="15"/>
        <v>Normal</v>
      </c>
    </row>
    <row r="453" spans="1:4" x14ac:dyDescent="0.25">
      <c r="A453">
        <v>1.96</v>
      </c>
      <c r="C453">
        <f t="shared" si="14"/>
        <v>-0.16161289881590316</v>
      </c>
      <c r="D453" t="str">
        <f t="shared" si="15"/>
        <v>Normal</v>
      </c>
    </row>
    <row r="454" spans="1:4" x14ac:dyDescent="0.25">
      <c r="A454">
        <v>-0.84</v>
      </c>
      <c r="C454">
        <f t="shared" si="14"/>
        <v>-0.64437536458180111</v>
      </c>
      <c r="D454" t="str">
        <f t="shared" si="15"/>
        <v>Normal</v>
      </c>
    </row>
    <row r="455" spans="1:4" x14ac:dyDescent="0.25">
      <c r="A455">
        <v>3.61</v>
      </c>
      <c r="C455">
        <f t="shared" si="14"/>
        <v>0.12287212565328673</v>
      </c>
      <c r="D455" t="str">
        <f t="shared" si="15"/>
        <v>Normal</v>
      </c>
    </row>
    <row r="456" spans="1:4" x14ac:dyDescent="0.25">
      <c r="A456">
        <v>-2.2000000000000002</v>
      </c>
      <c r="C456">
        <f t="shared" si="14"/>
        <v>-0.87885999081095156</v>
      </c>
      <c r="D456" t="str">
        <f t="shared" si="15"/>
        <v>Normal</v>
      </c>
    </row>
    <row r="457" spans="1:4" x14ac:dyDescent="0.25">
      <c r="A457">
        <v>1.57</v>
      </c>
      <c r="C457">
        <f t="shared" si="14"/>
        <v>-0.22885481369043895</v>
      </c>
      <c r="D457" t="str">
        <f t="shared" si="15"/>
        <v>Normal</v>
      </c>
    </row>
    <row r="458" spans="1:4" x14ac:dyDescent="0.25">
      <c r="A458">
        <v>1.25</v>
      </c>
      <c r="C458">
        <f t="shared" si="14"/>
        <v>-0.28402766692082732</v>
      </c>
      <c r="D458" t="str">
        <f t="shared" si="15"/>
        <v>Normal</v>
      </c>
    </row>
    <row r="459" spans="1:4" x14ac:dyDescent="0.25">
      <c r="A459">
        <v>-0.24</v>
      </c>
      <c r="C459">
        <f t="shared" si="14"/>
        <v>-0.54092626477482297</v>
      </c>
      <c r="D459" t="str">
        <f t="shared" si="15"/>
        <v>Normal</v>
      </c>
    </row>
    <row r="460" spans="1:4" x14ac:dyDescent="0.25">
      <c r="A460">
        <v>0.76</v>
      </c>
      <c r="C460">
        <f t="shared" si="14"/>
        <v>-0.36851109842985941</v>
      </c>
      <c r="D460" t="str">
        <f t="shared" si="15"/>
        <v>Normal</v>
      </c>
    </row>
    <row r="461" spans="1:4" x14ac:dyDescent="0.25">
      <c r="A461">
        <v>-4.88</v>
      </c>
      <c r="C461">
        <f t="shared" si="14"/>
        <v>-1.3409326366154539</v>
      </c>
      <c r="D461" t="str">
        <f t="shared" si="15"/>
        <v>Normal</v>
      </c>
    </row>
    <row r="462" spans="1:4" x14ac:dyDescent="0.25">
      <c r="A462">
        <v>1.78</v>
      </c>
      <c r="C462">
        <f t="shared" si="14"/>
        <v>-0.1926476287579966</v>
      </c>
      <c r="D462" t="str">
        <f t="shared" si="15"/>
        <v>Normal</v>
      </c>
    </row>
    <row r="463" spans="1:4" x14ac:dyDescent="0.25">
      <c r="A463">
        <v>3.29</v>
      </c>
      <c r="C463">
        <f t="shared" si="14"/>
        <v>6.7699272422898416E-2</v>
      </c>
      <c r="D463" t="str">
        <f t="shared" si="15"/>
        <v>Normal</v>
      </c>
    </row>
    <row r="464" spans="1:4" x14ac:dyDescent="0.25">
      <c r="A464">
        <v>2.63</v>
      </c>
      <c r="C464">
        <f t="shared" si="14"/>
        <v>-4.6094737364777573E-2</v>
      </c>
      <c r="D464" t="str">
        <f t="shared" si="15"/>
        <v>Normal</v>
      </c>
    </row>
    <row r="465" spans="1:4" x14ac:dyDescent="0.25">
      <c r="A465">
        <v>-1.04</v>
      </c>
      <c r="C465">
        <f t="shared" si="14"/>
        <v>-0.67885839785079394</v>
      </c>
      <c r="D465" t="str">
        <f t="shared" si="15"/>
        <v>Normal</v>
      </c>
    </row>
    <row r="466" spans="1:4" x14ac:dyDescent="0.25">
      <c r="A466">
        <v>-1.08</v>
      </c>
      <c r="C466">
        <f t="shared" si="14"/>
        <v>-0.68575500450459248</v>
      </c>
      <c r="D466" t="str">
        <f t="shared" si="15"/>
        <v>Normal</v>
      </c>
    </row>
    <row r="467" spans="1:4" x14ac:dyDescent="0.25">
      <c r="A467">
        <v>-0.19</v>
      </c>
      <c r="C467">
        <f t="shared" si="14"/>
        <v>-0.5323055064575748</v>
      </c>
      <c r="D467" t="str">
        <f t="shared" si="15"/>
        <v>Normal</v>
      </c>
    </row>
    <row r="468" spans="1:4" x14ac:dyDescent="0.25">
      <c r="A468">
        <v>-0.31</v>
      </c>
      <c r="C468">
        <f t="shared" si="14"/>
        <v>-0.55299532641897053</v>
      </c>
      <c r="D468" t="str">
        <f t="shared" si="15"/>
        <v>Normal</v>
      </c>
    </row>
    <row r="469" spans="1:4" x14ac:dyDescent="0.25">
      <c r="A469">
        <v>1.69</v>
      </c>
      <c r="C469">
        <f t="shared" si="14"/>
        <v>-0.20816499372904332</v>
      </c>
      <c r="D469" t="str">
        <f t="shared" si="15"/>
        <v>Normal</v>
      </c>
    </row>
    <row r="470" spans="1:4" x14ac:dyDescent="0.25">
      <c r="A470">
        <v>-0.72</v>
      </c>
      <c r="C470">
        <f t="shared" si="14"/>
        <v>-0.6236855446204056</v>
      </c>
      <c r="D470" t="str">
        <f t="shared" si="15"/>
        <v>Normal</v>
      </c>
    </row>
    <row r="471" spans="1:4" x14ac:dyDescent="0.25">
      <c r="A471">
        <v>-1.7</v>
      </c>
      <c r="C471">
        <f t="shared" si="14"/>
        <v>-0.79265240763846978</v>
      </c>
      <c r="D471" t="str">
        <f t="shared" si="15"/>
        <v>Normal</v>
      </c>
    </row>
    <row r="472" spans="1:4" x14ac:dyDescent="0.25">
      <c r="A472">
        <v>2.4500000000000002</v>
      </c>
      <c r="C472">
        <f t="shared" si="14"/>
        <v>-7.7129467306870966E-2</v>
      </c>
      <c r="D472" t="str">
        <f t="shared" si="15"/>
        <v>Normal</v>
      </c>
    </row>
    <row r="473" spans="1:4" x14ac:dyDescent="0.25">
      <c r="A473">
        <v>-0.2</v>
      </c>
      <c r="C473">
        <f t="shared" si="14"/>
        <v>-0.53402965812102454</v>
      </c>
      <c r="D473" t="str">
        <f t="shared" si="15"/>
        <v>Normal</v>
      </c>
    </row>
    <row r="474" spans="1:4" x14ac:dyDescent="0.25">
      <c r="A474">
        <v>2.36</v>
      </c>
      <c r="C474">
        <f t="shared" si="14"/>
        <v>-9.2646832277917743E-2</v>
      </c>
      <c r="D474" t="str">
        <f t="shared" si="15"/>
        <v>Normal</v>
      </c>
    </row>
    <row r="475" spans="1:4" x14ac:dyDescent="0.25">
      <c r="A475">
        <v>-4.2300000000000004</v>
      </c>
      <c r="C475">
        <f t="shared" si="14"/>
        <v>-1.2288627784912278</v>
      </c>
      <c r="D475" t="str">
        <f t="shared" si="15"/>
        <v>Normal</v>
      </c>
    </row>
    <row r="476" spans="1:4" x14ac:dyDescent="0.25">
      <c r="A476">
        <v>-3.76</v>
      </c>
      <c r="C476">
        <f t="shared" si="14"/>
        <v>-1.1478276503090949</v>
      </c>
      <c r="D476" t="str">
        <f t="shared" si="15"/>
        <v>Normal</v>
      </c>
    </row>
    <row r="477" spans="1:4" x14ac:dyDescent="0.25">
      <c r="A477">
        <v>3.49</v>
      </c>
      <c r="C477">
        <f t="shared" si="14"/>
        <v>0.10218230569189116</v>
      </c>
      <c r="D477" t="str">
        <f t="shared" si="15"/>
        <v>Normal</v>
      </c>
    </row>
    <row r="478" spans="1:4" x14ac:dyDescent="0.25">
      <c r="A478">
        <v>-2.59</v>
      </c>
      <c r="C478">
        <f t="shared" si="14"/>
        <v>-0.94610190568548747</v>
      </c>
      <c r="D478" t="str">
        <f t="shared" si="15"/>
        <v>Normal</v>
      </c>
    </row>
    <row r="479" spans="1:4" x14ac:dyDescent="0.25">
      <c r="A479">
        <v>0.43</v>
      </c>
      <c r="C479">
        <f t="shared" si="14"/>
        <v>-0.42540810332369738</v>
      </c>
      <c r="D479" t="str">
        <f t="shared" si="15"/>
        <v>Normal</v>
      </c>
    </row>
    <row r="480" spans="1:4" x14ac:dyDescent="0.25">
      <c r="A480">
        <v>-3.89</v>
      </c>
      <c r="C480">
        <f t="shared" si="14"/>
        <v>-1.1702416219339402</v>
      </c>
      <c r="D480" t="str">
        <f t="shared" si="15"/>
        <v>Normal</v>
      </c>
    </row>
    <row r="481" spans="1:4" x14ac:dyDescent="0.25">
      <c r="A481">
        <v>2.89</v>
      </c>
      <c r="C481">
        <f t="shared" si="14"/>
        <v>-1.2667941150870006E-3</v>
      </c>
      <c r="D481" t="str">
        <f t="shared" si="15"/>
        <v>Normal</v>
      </c>
    </row>
    <row r="482" spans="1:4" x14ac:dyDescent="0.25">
      <c r="A482">
        <v>-1.87</v>
      </c>
      <c r="C482">
        <f t="shared" si="14"/>
        <v>-0.82196298591711359</v>
      </c>
      <c r="D482" t="str">
        <f t="shared" si="15"/>
        <v>Normal</v>
      </c>
    </row>
    <row r="483" spans="1:4" x14ac:dyDescent="0.25">
      <c r="A483">
        <v>-4.74</v>
      </c>
      <c r="C483">
        <f t="shared" si="14"/>
        <v>-1.3167945133271592</v>
      </c>
      <c r="D483" t="str">
        <f t="shared" si="15"/>
        <v>Normal</v>
      </c>
    </row>
    <row r="484" spans="1:4" x14ac:dyDescent="0.25">
      <c r="A484">
        <v>2.0099999999999998</v>
      </c>
      <c r="C484">
        <f t="shared" si="14"/>
        <v>-0.152992140498655</v>
      </c>
      <c r="D484" t="str">
        <f t="shared" si="15"/>
        <v>Normal</v>
      </c>
    </row>
    <row r="485" spans="1:4" x14ac:dyDescent="0.25">
      <c r="A485">
        <v>2.5</v>
      </c>
      <c r="C485">
        <f t="shared" si="14"/>
        <v>-6.8508708989622816E-2</v>
      </c>
      <c r="D485" t="str">
        <f t="shared" si="15"/>
        <v>Normal</v>
      </c>
    </row>
    <row r="486" spans="1:4" x14ac:dyDescent="0.25">
      <c r="A486">
        <v>2.56</v>
      </c>
      <c r="C486">
        <f t="shared" si="14"/>
        <v>-5.8163799008924995E-2</v>
      </c>
      <c r="D486" t="str">
        <f t="shared" si="15"/>
        <v>Normal</v>
      </c>
    </row>
    <row r="487" spans="1:4" x14ac:dyDescent="0.25">
      <c r="A487">
        <v>-0.28000000000000003</v>
      </c>
      <c r="C487">
        <f t="shared" si="14"/>
        <v>-0.54782287142862152</v>
      </c>
      <c r="D487" t="str">
        <f t="shared" si="15"/>
        <v>Normal</v>
      </c>
    </row>
    <row r="488" spans="1:4" x14ac:dyDescent="0.25">
      <c r="A488">
        <v>2.0099999999999998</v>
      </c>
      <c r="C488">
        <f t="shared" si="14"/>
        <v>-0.152992140498655</v>
      </c>
      <c r="D488" t="str">
        <f t="shared" si="15"/>
        <v>Normal</v>
      </c>
    </row>
    <row r="489" spans="1:4" x14ac:dyDescent="0.25">
      <c r="A489">
        <v>0.53</v>
      </c>
      <c r="C489">
        <f t="shared" si="14"/>
        <v>-0.40816658668920108</v>
      </c>
      <c r="D489" t="str">
        <f t="shared" si="15"/>
        <v>Normal</v>
      </c>
    </row>
    <row r="490" spans="1:4" x14ac:dyDescent="0.25">
      <c r="A490">
        <v>-0.47</v>
      </c>
      <c r="C490">
        <f t="shared" si="14"/>
        <v>-0.5805817530341647</v>
      </c>
      <c r="D490" t="str">
        <f t="shared" si="15"/>
        <v>Normal</v>
      </c>
    </row>
    <row r="491" spans="1:4" x14ac:dyDescent="0.25">
      <c r="A491">
        <v>0.69</v>
      </c>
      <c r="C491">
        <f t="shared" si="14"/>
        <v>-0.38058016007400691</v>
      </c>
      <c r="D491" t="str">
        <f t="shared" si="15"/>
        <v>Normal</v>
      </c>
    </row>
    <row r="492" spans="1:4" x14ac:dyDescent="0.25">
      <c r="A492">
        <v>-3.72</v>
      </c>
      <c r="C492">
        <f t="shared" si="14"/>
        <v>-1.1409310436552964</v>
      </c>
      <c r="D492" t="str">
        <f t="shared" si="15"/>
        <v>Normal</v>
      </c>
    </row>
    <row r="493" spans="1:4" x14ac:dyDescent="0.25">
      <c r="A493">
        <v>-4.59</v>
      </c>
      <c r="C493">
        <f t="shared" si="14"/>
        <v>-1.2909322383754147</v>
      </c>
      <c r="D493" t="str">
        <f t="shared" si="15"/>
        <v>Normal</v>
      </c>
    </row>
    <row r="494" spans="1:4" x14ac:dyDescent="0.25">
      <c r="A494">
        <v>-2.35</v>
      </c>
      <c r="C494">
        <f t="shared" si="14"/>
        <v>-0.90472226576269621</v>
      </c>
      <c r="D494" t="str">
        <f t="shared" si="15"/>
        <v>Normal</v>
      </c>
    </row>
    <row r="495" spans="1:4" x14ac:dyDescent="0.25">
      <c r="A495">
        <v>-0.89</v>
      </c>
      <c r="C495">
        <f t="shared" si="14"/>
        <v>-0.6529961228990494</v>
      </c>
      <c r="D495" t="str">
        <f t="shared" si="15"/>
        <v>Normal</v>
      </c>
    </row>
    <row r="496" spans="1:4" x14ac:dyDescent="0.25">
      <c r="A496">
        <v>4.6399999999999997</v>
      </c>
      <c r="C496">
        <f t="shared" si="14"/>
        <v>0.30045974698859917</v>
      </c>
      <c r="D496" t="str">
        <f t="shared" si="15"/>
        <v>Normal</v>
      </c>
    </row>
    <row r="497" spans="1:4" x14ac:dyDescent="0.25">
      <c r="A497">
        <v>-4.1500000000000004</v>
      </c>
      <c r="C497">
        <f t="shared" si="14"/>
        <v>-1.2150695651836307</v>
      </c>
      <c r="D497" t="str">
        <f t="shared" si="15"/>
        <v>Normal</v>
      </c>
    </row>
    <row r="498" spans="1:4" x14ac:dyDescent="0.25">
      <c r="A498">
        <v>4.79</v>
      </c>
      <c r="C498">
        <f t="shared" si="14"/>
        <v>0.32632202194034376</v>
      </c>
      <c r="D498" t="str">
        <f t="shared" si="15"/>
        <v>Normal</v>
      </c>
    </row>
    <row r="499" spans="1:4" x14ac:dyDescent="0.25">
      <c r="A499">
        <v>4.5599999999999996</v>
      </c>
      <c r="C499">
        <f t="shared" si="14"/>
        <v>0.28666653368100209</v>
      </c>
      <c r="D499" t="str">
        <f t="shared" si="15"/>
        <v>Normal</v>
      </c>
    </row>
    <row r="500" spans="1:4" x14ac:dyDescent="0.25">
      <c r="A500">
        <v>4.58</v>
      </c>
      <c r="C500">
        <f t="shared" si="14"/>
        <v>0.29011483700790142</v>
      </c>
      <c r="D500" t="str">
        <f t="shared" si="15"/>
        <v>Normal</v>
      </c>
    </row>
    <row r="501" spans="1:4" x14ac:dyDescent="0.25">
      <c r="A501">
        <v>-1.3</v>
      </c>
      <c r="C501">
        <f t="shared" si="14"/>
        <v>-0.72368634110048446</v>
      </c>
      <c r="D501" t="str">
        <f t="shared" si="15"/>
        <v>Normal</v>
      </c>
    </row>
    <row r="502" spans="1:4" x14ac:dyDescent="0.25">
      <c r="A502">
        <v>3.09</v>
      </c>
      <c r="C502">
        <f t="shared" si="14"/>
        <v>3.3216239153905668E-2</v>
      </c>
      <c r="D502" t="str">
        <f t="shared" si="15"/>
        <v>Normal</v>
      </c>
    </row>
    <row r="503" spans="1:4" x14ac:dyDescent="0.25">
      <c r="A503">
        <v>3.93</v>
      </c>
      <c r="C503">
        <f t="shared" si="14"/>
        <v>0.17804497888367513</v>
      </c>
      <c r="D503" t="str">
        <f t="shared" si="15"/>
        <v>Normal</v>
      </c>
    </row>
    <row r="504" spans="1:4" x14ac:dyDescent="0.25">
      <c r="A504">
        <v>-1.95</v>
      </c>
      <c r="C504">
        <f t="shared" si="14"/>
        <v>-0.83575619922471067</v>
      </c>
      <c r="D504" t="str">
        <f t="shared" si="15"/>
        <v>Normal</v>
      </c>
    </row>
    <row r="505" spans="1:4" x14ac:dyDescent="0.25">
      <c r="A505">
        <v>1.69</v>
      </c>
      <c r="C505">
        <f t="shared" si="14"/>
        <v>-0.20816499372904332</v>
      </c>
      <c r="D505" t="str">
        <f t="shared" si="15"/>
        <v>Normal</v>
      </c>
    </row>
    <row r="506" spans="1:4" x14ac:dyDescent="0.25">
      <c r="A506">
        <v>-2.29</v>
      </c>
      <c r="C506">
        <f t="shared" si="14"/>
        <v>-0.89437735578199828</v>
      </c>
      <c r="D506" t="str">
        <f t="shared" si="15"/>
        <v>Normal</v>
      </c>
    </row>
    <row r="507" spans="1:4" x14ac:dyDescent="0.25">
      <c r="A507">
        <v>-3.44</v>
      </c>
      <c r="C507">
        <f t="shared" si="14"/>
        <v>-1.0926547970787064</v>
      </c>
      <c r="D507" t="str">
        <f t="shared" si="15"/>
        <v>Normal</v>
      </c>
    </row>
    <row r="508" spans="1:4" x14ac:dyDescent="0.25">
      <c r="A508">
        <v>1.94</v>
      </c>
      <c r="C508">
        <f t="shared" si="14"/>
        <v>-0.16506120214280243</v>
      </c>
      <c r="D508" t="str">
        <f t="shared" si="15"/>
        <v>Normal</v>
      </c>
    </row>
    <row r="509" spans="1:4" x14ac:dyDescent="0.25">
      <c r="A509">
        <v>0.95</v>
      </c>
      <c r="C509">
        <f t="shared" si="14"/>
        <v>-0.33575221682431639</v>
      </c>
      <c r="D509" t="str">
        <f t="shared" si="15"/>
        <v>Normal</v>
      </c>
    </row>
    <row r="510" spans="1:4" x14ac:dyDescent="0.25">
      <c r="A510">
        <v>0.34</v>
      </c>
      <c r="C510">
        <f t="shared" si="14"/>
        <v>-0.44092546829474416</v>
      </c>
      <c r="D510" t="str">
        <f t="shared" si="15"/>
        <v>Normal</v>
      </c>
    </row>
    <row r="511" spans="1:4" x14ac:dyDescent="0.25">
      <c r="A511">
        <v>4.17</v>
      </c>
      <c r="C511">
        <f t="shared" si="14"/>
        <v>0.21942461880646635</v>
      </c>
      <c r="D511" t="str">
        <f t="shared" si="15"/>
        <v>Normal</v>
      </c>
    </row>
    <row r="512" spans="1:4" x14ac:dyDescent="0.25">
      <c r="A512">
        <v>0.38</v>
      </c>
      <c r="C512">
        <f t="shared" si="14"/>
        <v>-0.43402886164094562</v>
      </c>
      <c r="D512" t="str">
        <f t="shared" si="15"/>
        <v>Normal</v>
      </c>
    </row>
    <row r="513" spans="1:4" x14ac:dyDescent="0.25">
      <c r="A513">
        <v>1.46</v>
      </c>
      <c r="C513">
        <f t="shared" si="14"/>
        <v>-0.24782048198838494</v>
      </c>
      <c r="D513" t="str">
        <f t="shared" si="15"/>
        <v>Normal</v>
      </c>
    </row>
    <row r="514" spans="1:4" x14ac:dyDescent="0.25">
      <c r="A514">
        <v>-3.2</v>
      </c>
      <c r="C514">
        <f t="shared" si="14"/>
        <v>-1.0512751571559151</v>
      </c>
      <c r="D514" t="str">
        <f t="shared" si="15"/>
        <v>Normal</v>
      </c>
    </row>
    <row r="515" spans="1:4" x14ac:dyDescent="0.25">
      <c r="A515">
        <v>3.24</v>
      </c>
      <c r="C515">
        <f t="shared" ref="C515:C578" si="16">(A515 - $B$5) / $B$7</f>
        <v>5.9078514105650265E-2</v>
      </c>
      <c r="D515" t="str">
        <f t="shared" ref="D515:D578" si="17">IF(ABS(C515) &gt; 2.5, "Outlier", "Normal")</f>
        <v>Normal</v>
      </c>
    </row>
    <row r="516" spans="1:4" x14ac:dyDescent="0.25">
      <c r="A516">
        <v>12.68</v>
      </c>
      <c r="C516">
        <f t="shared" si="16"/>
        <v>1.6866776844021063</v>
      </c>
      <c r="D516" t="str">
        <f t="shared" si="17"/>
        <v>Normal</v>
      </c>
    </row>
    <row r="517" spans="1:4" x14ac:dyDescent="0.25">
      <c r="A517">
        <v>5.57</v>
      </c>
      <c r="C517">
        <f t="shared" si="16"/>
        <v>0.4608058516894154</v>
      </c>
      <c r="D517" t="str">
        <f t="shared" si="17"/>
        <v>Normal</v>
      </c>
    </row>
    <row r="518" spans="1:4" x14ac:dyDescent="0.25">
      <c r="A518">
        <v>14.92</v>
      </c>
      <c r="C518">
        <f t="shared" si="16"/>
        <v>2.0728876570148249</v>
      </c>
      <c r="D518" t="str">
        <f t="shared" si="17"/>
        <v>Normal</v>
      </c>
    </row>
    <row r="519" spans="1:4" x14ac:dyDescent="0.25">
      <c r="A519">
        <v>1.57</v>
      </c>
      <c r="C519">
        <f t="shared" si="16"/>
        <v>-0.22885481369043895</v>
      </c>
      <c r="D519" t="str">
        <f t="shared" si="17"/>
        <v>Normal</v>
      </c>
    </row>
    <row r="520" spans="1:4" x14ac:dyDescent="0.25">
      <c r="A520">
        <v>-2.2799999999999998</v>
      </c>
      <c r="C520">
        <f t="shared" si="16"/>
        <v>-0.89265320411854865</v>
      </c>
      <c r="D520" t="str">
        <f t="shared" si="17"/>
        <v>Normal</v>
      </c>
    </row>
    <row r="521" spans="1:4" x14ac:dyDescent="0.25">
      <c r="A521">
        <v>11.28</v>
      </c>
      <c r="C521">
        <f t="shared" si="16"/>
        <v>1.4452964515191573</v>
      </c>
      <c r="D521" t="str">
        <f t="shared" si="17"/>
        <v>Normal</v>
      </c>
    </row>
    <row r="522" spans="1:4" x14ac:dyDescent="0.25">
      <c r="A522">
        <v>11.76</v>
      </c>
      <c r="C522">
        <f t="shared" si="16"/>
        <v>1.5280557313647398</v>
      </c>
      <c r="D522" t="str">
        <f t="shared" si="17"/>
        <v>Normal</v>
      </c>
    </row>
    <row r="523" spans="1:4" x14ac:dyDescent="0.25">
      <c r="A523">
        <v>-4</v>
      </c>
      <c r="C523">
        <f t="shared" si="16"/>
        <v>-1.1892072902318862</v>
      </c>
      <c r="D523" t="str">
        <f t="shared" si="17"/>
        <v>Normal</v>
      </c>
    </row>
    <row r="524" spans="1:4" x14ac:dyDescent="0.25">
      <c r="A524">
        <v>-2.78</v>
      </c>
      <c r="C524">
        <f t="shared" si="16"/>
        <v>-0.97886078729103043</v>
      </c>
      <c r="D524" t="str">
        <f t="shared" si="17"/>
        <v>Normal</v>
      </c>
    </row>
    <row r="525" spans="1:4" x14ac:dyDescent="0.25">
      <c r="A525">
        <v>3.14</v>
      </c>
      <c r="C525">
        <f t="shared" si="16"/>
        <v>4.1836997471153894E-2</v>
      </c>
      <c r="D525" t="str">
        <f t="shared" si="17"/>
        <v>Normal</v>
      </c>
    </row>
    <row r="526" spans="1:4" x14ac:dyDescent="0.25">
      <c r="A526">
        <v>16.989999999999998</v>
      </c>
      <c r="C526">
        <f t="shared" si="16"/>
        <v>2.4297870513488991</v>
      </c>
      <c r="D526" t="str">
        <f t="shared" si="17"/>
        <v>Normal</v>
      </c>
    </row>
    <row r="527" spans="1:4" x14ac:dyDescent="0.25">
      <c r="A527">
        <v>6</v>
      </c>
      <c r="C527">
        <f t="shared" si="16"/>
        <v>0.53494437321774968</v>
      </c>
      <c r="D527" t="str">
        <f t="shared" si="17"/>
        <v>Normal</v>
      </c>
    </row>
    <row r="528" spans="1:4" x14ac:dyDescent="0.25">
      <c r="A528">
        <v>7.34</v>
      </c>
      <c r="C528">
        <f t="shared" si="16"/>
        <v>0.76598069612000086</v>
      </c>
      <c r="D528" t="str">
        <f t="shared" si="17"/>
        <v>Normal</v>
      </c>
    </row>
    <row r="529" spans="1:4" x14ac:dyDescent="0.25">
      <c r="A529">
        <v>1.27</v>
      </c>
      <c r="C529">
        <f t="shared" si="16"/>
        <v>-0.28057936359392804</v>
      </c>
      <c r="D529" t="str">
        <f t="shared" si="17"/>
        <v>Normal</v>
      </c>
    </row>
    <row r="530" spans="1:4" x14ac:dyDescent="0.25">
      <c r="A530">
        <v>-3.63</v>
      </c>
      <c r="C530">
        <f t="shared" si="16"/>
        <v>-1.1254136786842495</v>
      </c>
      <c r="D530" t="str">
        <f t="shared" si="17"/>
        <v>Normal</v>
      </c>
    </row>
    <row r="531" spans="1:4" x14ac:dyDescent="0.25">
      <c r="A531">
        <v>-2.4700000000000002</v>
      </c>
      <c r="C531">
        <f t="shared" si="16"/>
        <v>-0.92541208572409184</v>
      </c>
      <c r="D531" t="str">
        <f t="shared" si="17"/>
        <v>Normal</v>
      </c>
    </row>
    <row r="532" spans="1:4" x14ac:dyDescent="0.25">
      <c r="A532">
        <v>1.47</v>
      </c>
      <c r="C532">
        <f t="shared" si="16"/>
        <v>-0.2460963303249353</v>
      </c>
      <c r="D532" t="str">
        <f t="shared" si="17"/>
        <v>Normal</v>
      </c>
    </row>
    <row r="533" spans="1:4" x14ac:dyDescent="0.25">
      <c r="A533">
        <v>4.7</v>
      </c>
      <c r="C533">
        <f t="shared" si="16"/>
        <v>0.3108046569692971</v>
      </c>
      <c r="D533" t="str">
        <f t="shared" si="17"/>
        <v>Normal</v>
      </c>
    </row>
    <row r="534" spans="1:4" x14ac:dyDescent="0.25">
      <c r="A534">
        <v>14.05</v>
      </c>
      <c r="C534">
        <f t="shared" si="16"/>
        <v>1.9228864622947066</v>
      </c>
      <c r="D534" t="str">
        <f t="shared" si="17"/>
        <v>Normal</v>
      </c>
    </row>
    <row r="535" spans="1:4" x14ac:dyDescent="0.25">
      <c r="A535">
        <v>-0.9</v>
      </c>
      <c r="C535">
        <f t="shared" si="16"/>
        <v>-0.65472027456249893</v>
      </c>
      <c r="D535" t="str">
        <f t="shared" si="17"/>
        <v>Normal</v>
      </c>
    </row>
    <row r="536" spans="1:4" x14ac:dyDescent="0.25">
      <c r="A536">
        <v>1.52</v>
      </c>
      <c r="C536">
        <f t="shared" si="16"/>
        <v>-0.23747557200768712</v>
      </c>
      <c r="D536" t="str">
        <f t="shared" si="17"/>
        <v>Normal</v>
      </c>
    </row>
    <row r="537" spans="1:4" x14ac:dyDescent="0.25">
      <c r="A537">
        <v>5.13</v>
      </c>
      <c r="C537">
        <f t="shared" si="16"/>
        <v>0.38494317849763138</v>
      </c>
      <c r="D537" t="str">
        <f t="shared" si="17"/>
        <v>Normal</v>
      </c>
    </row>
    <row r="538" spans="1:4" x14ac:dyDescent="0.25">
      <c r="A538">
        <v>-1.7</v>
      </c>
      <c r="C538">
        <f t="shared" si="16"/>
        <v>-0.79265240763846978</v>
      </c>
      <c r="D538" t="str">
        <f t="shared" si="17"/>
        <v>Normal</v>
      </c>
    </row>
    <row r="539" spans="1:4" x14ac:dyDescent="0.25">
      <c r="A539">
        <v>1.85</v>
      </c>
      <c r="C539">
        <f t="shared" si="16"/>
        <v>-0.18057856711384912</v>
      </c>
      <c r="D539" t="str">
        <f t="shared" si="17"/>
        <v>Normal</v>
      </c>
    </row>
    <row r="540" spans="1:4" x14ac:dyDescent="0.25">
      <c r="A540">
        <v>2.81</v>
      </c>
      <c r="C540">
        <f t="shared" si="16"/>
        <v>-1.50600074226841E-2</v>
      </c>
      <c r="D540" t="str">
        <f t="shared" si="17"/>
        <v>Normal</v>
      </c>
    </row>
    <row r="541" spans="1:4" x14ac:dyDescent="0.25">
      <c r="A541">
        <v>3.29</v>
      </c>
      <c r="C541">
        <f t="shared" si="16"/>
        <v>6.7699272422898416E-2</v>
      </c>
      <c r="D541" t="str">
        <f t="shared" si="17"/>
        <v>Normal</v>
      </c>
    </row>
    <row r="542" spans="1:4" x14ac:dyDescent="0.25">
      <c r="A542">
        <v>8.56</v>
      </c>
      <c r="C542">
        <f t="shared" si="16"/>
        <v>0.97632719906085652</v>
      </c>
      <c r="D542" t="str">
        <f t="shared" si="17"/>
        <v>Normal</v>
      </c>
    </row>
    <row r="543" spans="1:4" x14ac:dyDescent="0.25">
      <c r="A543">
        <v>2.7</v>
      </c>
      <c r="C543">
        <f t="shared" si="16"/>
        <v>-3.4025675720630075E-2</v>
      </c>
      <c r="D543" t="str">
        <f t="shared" si="17"/>
        <v>Normal</v>
      </c>
    </row>
    <row r="544" spans="1:4" x14ac:dyDescent="0.25">
      <c r="A544">
        <v>-0.89</v>
      </c>
      <c r="C544">
        <f t="shared" si="16"/>
        <v>-0.6529961228990494</v>
      </c>
      <c r="D544" t="str">
        <f t="shared" si="17"/>
        <v>Normal</v>
      </c>
    </row>
    <row r="545" spans="1:4" x14ac:dyDescent="0.25">
      <c r="A545">
        <v>-0.8</v>
      </c>
      <c r="C545">
        <f t="shared" si="16"/>
        <v>-0.63747875792800268</v>
      </c>
      <c r="D545" t="str">
        <f t="shared" si="17"/>
        <v>Normal</v>
      </c>
    </row>
    <row r="546" spans="1:4" x14ac:dyDescent="0.25">
      <c r="A546">
        <v>4.3499999999999996</v>
      </c>
      <c r="C546">
        <f t="shared" si="16"/>
        <v>0.25045934874855974</v>
      </c>
      <c r="D546" t="str">
        <f t="shared" si="17"/>
        <v>Normal</v>
      </c>
    </row>
    <row r="547" spans="1:4" x14ac:dyDescent="0.25">
      <c r="A547">
        <v>4.4000000000000004</v>
      </c>
      <c r="C547">
        <f t="shared" si="16"/>
        <v>0.25908010706580803</v>
      </c>
      <c r="D547" t="str">
        <f t="shared" si="17"/>
        <v>Normal</v>
      </c>
    </row>
    <row r="548" spans="1:4" x14ac:dyDescent="0.25">
      <c r="A548">
        <v>-0.37</v>
      </c>
      <c r="C548">
        <f t="shared" si="16"/>
        <v>-0.56334023639966835</v>
      </c>
      <c r="D548" t="str">
        <f t="shared" si="17"/>
        <v>Normal</v>
      </c>
    </row>
    <row r="549" spans="1:4" x14ac:dyDescent="0.25">
      <c r="A549">
        <v>17.66</v>
      </c>
      <c r="C549">
        <f t="shared" si="16"/>
        <v>2.5453052128000251</v>
      </c>
      <c r="D549" s="3" t="str">
        <f>IF(ABS(C549) &gt; 2.5, "Outlier", "Normal")</f>
        <v>Outlier</v>
      </c>
    </row>
    <row r="550" spans="1:4" x14ac:dyDescent="0.25">
      <c r="A550">
        <v>13.11</v>
      </c>
      <c r="C550">
        <f t="shared" si="16"/>
        <v>1.7608162059304406</v>
      </c>
      <c r="D550" t="str">
        <f>IF(ABS(C550) &gt; 2.5, "Outlier", "Normal")</f>
        <v>Normal</v>
      </c>
    </row>
    <row r="551" spans="1:4" x14ac:dyDescent="0.25">
      <c r="A551">
        <v>-0.72</v>
      </c>
      <c r="C551">
        <f t="shared" si="16"/>
        <v>-0.6236855446204056</v>
      </c>
      <c r="D551" t="str">
        <f t="shared" si="17"/>
        <v>Normal</v>
      </c>
    </row>
    <row r="552" spans="1:4" x14ac:dyDescent="0.25">
      <c r="A552">
        <v>-0.04</v>
      </c>
      <c r="C552">
        <f t="shared" si="16"/>
        <v>-0.50644323150583037</v>
      </c>
      <c r="D552" t="str">
        <f t="shared" si="17"/>
        <v>Normal</v>
      </c>
    </row>
    <row r="553" spans="1:4" x14ac:dyDescent="0.25">
      <c r="A553">
        <v>3.5</v>
      </c>
      <c r="C553">
        <f t="shared" si="16"/>
        <v>0.10390645735534076</v>
      </c>
      <c r="D553" t="str">
        <f t="shared" si="17"/>
        <v>Normal</v>
      </c>
    </row>
    <row r="554" spans="1:4" x14ac:dyDescent="0.25">
      <c r="A554">
        <v>10.96</v>
      </c>
      <c r="C554">
        <f t="shared" si="16"/>
        <v>1.3901235982887692</v>
      </c>
      <c r="D554" t="str">
        <f t="shared" si="17"/>
        <v>Normal</v>
      </c>
    </row>
    <row r="555" spans="1:4" x14ac:dyDescent="0.25">
      <c r="A555">
        <v>5.32</v>
      </c>
      <c r="C555">
        <f t="shared" si="16"/>
        <v>0.41770206010317451</v>
      </c>
      <c r="D555" t="str">
        <f t="shared" si="17"/>
        <v>Normal</v>
      </c>
    </row>
    <row r="556" spans="1:4" x14ac:dyDescent="0.25">
      <c r="A556">
        <v>12.7</v>
      </c>
      <c r="C556">
        <f t="shared" si="16"/>
        <v>1.6901259877290056</v>
      </c>
      <c r="D556" t="str">
        <f t="shared" si="17"/>
        <v>Normal</v>
      </c>
    </row>
    <row r="557" spans="1:4" x14ac:dyDescent="0.25">
      <c r="A557">
        <v>2.63</v>
      </c>
      <c r="C557">
        <f t="shared" si="16"/>
        <v>-4.6094737364777573E-2</v>
      </c>
      <c r="D557" t="str">
        <f t="shared" si="17"/>
        <v>Normal</v>
      </c>
    </row>
    <row r="558" spans="1:4" x14ac:dyDescent="0.25">
      <c r="A558">
        <v>-2.76</v>
      </c>
      <c r="C558">
        <f t="shared" si="16"/>
        <v>-0.97541248396413127</v>
      </c>
      <c r="D558" t="str">
        <f t="shared" si="17"/>
        <v>Normal</v>
      </c>
    </row>
    <row r="559" spans="1:4" x14ac:dyDescent="0.25">
      <c r="A559">
        <v>-0.31</v>
      </c>
      <c r="C559">
        <f t="shared" si="16"/>
        <v>-0.55299532641897053</v>
      </c>
      <c r="D559" t="str">
        <f t="shared" si="17"/>
        <v>Normal</v>
      </c>
    </row>
    <row r="560" spans="1:4" x14ac:dyDescent="0.25">
      <c r="A560">
        <v>-0.04</v>
      </c>
      <c r="C560">
        <f t="shared" si="16"/>
        <v>-0.50644323150583037</v>
      </c>
      <c r="D560" t="str">
        <f t="shared" si="17"/>
        <v>Normal</v>
      </c>
    </row>
    <row r="561" spans="1:4" x14ac:dyDescent="0.25">
      <c r="A561">
        <v>11.71</v>
      </c>
      <c r="C561">
        <f t="shared" si="16"/>
        <v>1.5194349730474919</v>
      </c>
      <c r="D561" t="str">
        <f t="shared" si="17"/>
        <v>Normal</v>
      </c>
    </row>
    <row r="562" spans="1:4" x14ac:dyDescent="0.25">
      <c r="A562">
        <v>1.39</v>
      </c>
      <c r="C562">
        <f t="shared" si="16"/>
        <v>-0.25988954363253242</v>
      </c>
      <c r="D562" t="str">
        <f t="shared" si="17"/>
        <v>Normal</v>
      </c>
    </row>
    <row r="563" spans="1:4" x14ac:dyDescent="0.25">
      <c r="A563">
        <v>6.14</v>
      </c>
      <c r="C563">
        <f t="shared" si="16"/>
        <v>0.55908249650604458</v>
      </c>
      <c r="D563" t="str">
        <f t="shared" si="17"/>
        <v>Normal</v>
      </c>
    </row>
    <row r="564" spans="1:4" x14ac:dyDescent="0.25">
      <c r="A564">
        <v>-2.82</v>
      </c>
      <c r="C564">
        <f t="shared" si="16"/>
        <v>-0.98575739394482909</v>
      </c>
      <c r="D564" t="str">
        <f t="shared" si="17"/>
        <v>Normal</v>
      </c>
    </row>
    <row r="565" spans="1:4" x14ac:dyDescent="0.25">
      <c r="A565">
        <v>-3.82</v>
      </c>
      <c r="C565">
        <f t="shared" si="16"/>
        <v>-1.1581725602897925</v>
      </c>
      <c r="D565" t="str">
        <f t="shared" si="17"/>
        <v>Normal</v>
      </c>
    </row>
    <row r="566" spans="1:4" x14ac:dyDescent="0.25">
      <c r="A566">
        <v>-2.99</v>
      </c>
      <c r="C566">
        <f t="shared" si="16"/>
        <v>-1.015067972223473</v>
      </c>
      <c r="D566" t="str">
        <f t="shared" si="17"/>
        <v>Normal</v>
      </c>
    </row>
    <row r="567" spans="1:4" x14ac:dyDescent="0.25">
      <c r="A567">
        <v>7.53</v>
      </c>
      <c r="C567">
        <f t="shared" si="16"/>
        <v>0.79873957772554416</v>
      </c>
      <c r="D567" t="str">
        <f t="shared" si="17"/>
        <v>Normal</v>
      </c>
    </row>
    <row r="568" spans="1:4" x14ac:dyDescent="0.25">
      <c r="A568">
        <v>1.1499999999999999</v>
      </c>
      <c r="C568">
        <f t="shared" si="16"/>
        <v>-0.30126918355532367</v>
      </c>
      <c r="D568" t="str">
        <f t="shared" si="17"/>
        <v>Normal</v>
      </c>
    </row>
    <row r="569" spans="1:4" x14ac:dyDescent="0.25">
      <c r="A569">
        <v>3.13</v>
      </c>
      <c r="C569">
        <f t="shared" si="16"/>
        <v>4.0112845807704217E-2</v>
      </c>
      <c r="D569" t="str">
        <f t="shared" si="17"/>
        <v>Normal</v>
      </c>
    </row>
    <row r="570" spans="1:4" x14ac:dyDescent="0.25">
      <c r="A570">
        <v>8.93</v>
      </c>
      <c r="C570">
        <f t="shared" si="16"/>
        <v>1.0401208106084929</v>
      </c>
      <c r="D570" t="str">
        <f t="shared" si="17"/>
        <v>Normal</v>
      </c>
    </row>
    <row r="571" spans="1:4" x14ac:dyDescent="0.25">
      <c r="A571">
        <v>-1.67</v>
      </c>
      <c r="C571">
        <f t="shared" si="16"/>
        <v>-0.78747995264812098</v>
      </c>
      <c r="D571" t="str">
        <f t="shared" si="17"/>
        <v>Normal</v>
      </c>
    </row>
    <row r="572" spans="1:4" x14ac:dyDescent="0.25">
      <c r="A572">
        <v>-3.97</v>
      </c>
      <c r="C572">
        <f t="shared" si="16"/>
        <v>-1.1840348352415373</v>
      </c>
      <c r="D572" t="str">
        <f t="shared" si="17"/>
        <v>Normal</v>
      </c>
    </row>
    <row r="573" spans="1:4" x14ac:dyDescent="0.25">
      <c r="A573">
        <v>2.14</v>
      </c>
      <c r="C573">
        <f t="shared" si="16"/>
        <v>-0.13057816887380969</v>
      </c>
      <c r="D573" t="str">
        <f t="shared" si="17"/>
        <v>Normal</v>
      </c>
    </row>
    <row r="574" spans="1:4" x14ac:dyDescent="0.25">
      <c r="A574">
        <v>-4.84</v>
      </c>
      <c r="C574">
        <f t="shared" si="16"/>
        <v>-1.3340360299616556</v>
      </c>
      <c r="D574" t="str">
        <f t="shared" si="17"/>
        <v>Normal</v>
      </c>
    </row>
    <row r="575" spans="1:4" x14ac:dyDescent="0.25">
      <c r="A575">
        <v>17.68</v>
      </c>
      <c r="C575">
        <f t="shared" si="16"/>
        <v>2.5487535161269244</v>
      </c>
      <c r="D575" s="5" t="str">
        <f t="shared" si="17"/>
        <v>Outlier</v>
      </c>
    </row>
    <row r="576" spans="1:4" x14ac:dyDescent="0.25">
      <c r="A576">
        <v>0.38</v>
      </c>
      <c r="C576">
        <f t="shared" si="16"/>
        <v>-0.43402886164094562</v>
      </c>
      <c r="D576" t="str">
        <f t="shared" si="17"/>
        <v>Normal</v>
      </c>
    </row>
    <row r="577" spans="1:4" x14ac:dyDescent="0.25">
      <c r="A577">
        <v>15.71</v>
      </c>
      <c r="C577">
        <f t="shared" si="16"/>
        <v>2.2090956384273461</v>
      </c>
      <c r="D577" t="str">
        <f t="shared" si="17"/>
        <v>Normal</v>
      </c>
    </row>
    <row r="578" spans="1:4" x14ac:dyDescent="0.25">
      <c r="A578">
        <v>1.63</v>
      </c>
      <c r="C578">
        <f t="shared" si="16"/>
        <v>-0.21850990370974116</v>
      </c>
      <c r="D578" t="str">
        <f t="shared" si="17"/>
        <v>Normal</v>
      </c>
    </row>
    <row r="579" spans="1:4" x14ac:dyDescent="0.25">
      <c r="A579">
        <v>1.06</v>
      </c>
      <c r="C579">
        <f t="shared" ref="C579:C642" si="18">(A579 - $B$5) / $B$7</f>
        <v>-0.31678654852637034</v>
      </c>
      <c r="D579" t="str">
        <f t="shared" ref="D579:D642" si="19">IF(ABS(C579) &gt; 2.5, "Outlier", "Normal")</f>
        <v>Normal</v>
      </c>
    </row>
    <row r="580" spans="1:4" x14ac:dyDescent="0.25">
      <c r="A580">
        <v>3.85</v>
      </c>
      <c r="C580">
        <f t="shared" si="18"/>
        <v>0.16425176557607804</v>
      </c>
      <c r="D580" t="str">
        <f t="shared" si="19"/>
        <v>Normal</v>
      </c>
    </row>
    <row r="581" spans="1:4" x14ac:dyDescent="0.25">
      <c r="A581">
        <v>0.51</v>
      </c>
      <c r="C581">
        <f t="shared" si="18"/>
        <v>-0.4116148900161003</v>
      </c>
      <c r="D581" t="str">
        <f t="shared" si="19"/>
        <v>Normal</v>
      </c>
    </row>
    <row r="582" spans="1:4" x14ac:dyDescent="0.25">
      <c r="A582">
        <v>11.57</v>
      </c>
      <c r="C582">
        <f t="shared" si="18"/>
        <v>1.4952968497591967</v>
      </c>
      <c r="D582" t="str">
        <f t="shared" si="19"/>
        <v>Normal</v>
      </c>
    </row>
    <row r="583" spans="1:4" x14ac:dyDescent="0.25">
      <c r="A583">
        <v>7.15</v>
      </c>
      <c r="C583">
        <f t="shared" si="18"/>
        <v>0.73322181451445778</v>
      </c>
      <c r="D583" t="str">
        <f t="shared" si="19"/>
        <v>Normal</v>
      </c>
    </row>
    <row r="584" spans="1:4" x14ac:dyDescent="0.25">
      <c r="A584">
        <v>-1.87</v>
      </c>
      <c r="C584">
        <f t="shared" si="18"/>
        <v>-0.82196298591711359</v>
      </c>
      <c r="D584" t="str">
        <f t="shared" si="19"/>
        <v>Normal</v>
      </c>
    </row>
    <row r="585" spans="1:4" x14ac:dyDescent="0.25">
      <c r="A585">
        <v>7.56</v>
      </c>
      <c r="C585">
        <f t="shared" si="18"/>
        <v>0.80391203271589295</v>
      </c>
      <c r="D585" t="str">
        <f t="shared" si="19"/>
        <v>Normal</v>
      </c>
    </row>
    <row r="586" spans="1:4" x14ac:dyDescent="0.25">
      <c r="A586">
        <v>12.58</v>
      </c>
      <c r="C586">
        <f t="shared" si="18"/>
        <v>1.6694361677676099</v>
      </c>
      <c r="D586" t="str">
        <f t="shared" si="19"/>
        <v>Normal</v>
      </c>
    </row>
    <row r="587" spans="1:4" x14ac:dyDescent="0.25">
      <c r="A587">
        <v>2.54</v>
      </c>
      <c r="C587">
        <f t="shared" si="18"/>
        <v>-6.1612102335824266E-2</v>
      </c>
      <c r="D587" t="str">
        <f t="shared" si="19"/>
        <v>Normal</v>
      </c>
    </row>
    <row r="588" spans="1:4" x14ac:dyDescent="0.25">
      <c r="A588">
        <v>1.17</v>
      </c>
      <c r="C588">
        <f t="shared" si="18"/>
        <v>-0.2978208802284244</v>
      </c>
      <c r="D588" t="str">
        <f t="shared" si="19"/>
        <v>Normal</v>
      </c>
    </row>
    <row r="589" spans="1:4" x14ac:dyDescent="0.25">
      <c r="A589">
        <v>9.43</v>
      </c>
      <c r="C589">
        <f t="shared" si="18"/>
        <v>1.1263283937809747</v>
      </c>
      <c r="D589" t="str">
        <f t="shared" si="19"/>
        <v>Normal</v>
      </c>
    </row>
    <row r="590" spans="1:4" x14ac:dyDescent="0.25">
      <c r="A590">
        <v>17.64</v>
      </c>
      <c r="C590">
        <f t="shared" si="18"/>
        <v>2.5418569094731258</v>
      </c>
      <c r="D590" t="str">
        <f t="shared" si="19"/>
        <v>Outlier</v>
      </c>
    </row>
    <row r="591" spans="1:4" x14ac:dyDescent="0.25">
      <c r="A591">
        <v>11.22</v>
      </c>
      <c r="C591">
        <f t="shared" si="18"/>
        <v>1.4349515415384597</v>
      </c>
      <c r="D591" t="str">
        <f t="shared" si="19"/>
        <v>Normal</v>
      </c>
    </row>
    <row r="592" spans="1:4" x14ac:dyDescent="0.25">
      <c r="A592">
        <v>2.81</v>
      </c>
      <c r="C592">
        <f t="shared" si="18"/>
        <v>-1.50600074226841E-2</v>
      </c>
      <c r="D592" t="str">
        <f t="shared" si="19"/>
        <v>Normal</v>
      </c>
    </row>
    <row r="593" spans="1:4" x14ac:dyDescent="0.25">
      <c r="A593">
        <v>6.18</v>
      </c>
      <c r="C593">
        <f t="shared" si="18"/>
        <v>0.56597910315984312</v>
      </c>
      <c r="D593" t="str">
        <f t="shared" si="19"/>
        <v>Normal</v>
      </c>
    </row>
    <row r="594" spans="1:4" x14ac:dyDescent="0.25">
      <c r="A594">
        <v>-3.56</v>
      </c>
      <c r="C594">
        <f t="shared" si="18"/>
        <v>-1.113344617040102</v>
      </c>
      <c r="D594" t="str">
        <f t="shared" si="19"/>
        <v>Normal</v>
      </c>
    </row>
    <row r="595" spans="1:4" x14ac:dyDescent="0.25">
      <c r="A595">
        <v>2.23</v>
      </c>
      <c r="C595">
        <f t="shared" si="18"/>
        <v>-0.11506080390276299</v>
      </c>
      <c r="D595" t="str">
        <f t="shared" si="19"/>
        <v>Normal</v>
      </c>
    </row>
    <row r="596" spans="1:4" x14ac:dyDescent="0.25">
      <c r="A596">
        <v>-3.11</v>
      </c>
      <c r="C596">
        <f t="shared" si="18"/>
        <v>-1.0357577921848684</v>
      </c>
      <c r="D596" t="str">
        <f t="shared" si="19"/>
        <v>Normal</v>
      </c>
    </row>
    <row r="597" spans="1:4" x14ac:dyDescent="0.25">
      <c r="A597">
        <v>-0.76</v>
      </c>
      <c r="C597">
        <f t="shared" si="18"/>
        <v>-0.63058215127420414</v>
      </c>
      <c r="D597" t="str">
        <f t="shared" si="19"/>
        <v>Normal</v>
      </c>
    </row>
    <row r="598" spans="1:4" x14ac:dyDescent="0.25">
      <c r="A598">
        <v>3.87</v>
      </c>
      <c r="C598">
        <f t="shared" si="18"/>
        <v>0.16770006890297731</v>
      </c>
      <c r="D598" t="str">
        <f t="shared" si="19"/>
        <v>Normal</v>
      </c>
    </row>
    <row r="599" spans="1:4" x14ac:dyDescent="0.25">
      <c r="A599">
        <v>7.85</v>
      </c>
      <c r="C599">
        <f t="shared" si="18"/>
        <v>0.85391243095593217</v>
      </c>
      <c r="D599" t="str">
        <f t="shared" si="19"/>
        <v>Normal</v>
      </c>
    </row>
    <row r="600" spans="1:4" x14ac:dyDescent="0.25">
      <c r="A600">
        <v>0.93</v>
      </c>
      <c r="C600">
        <f t="shared" si="18"/>
        <v>-0.3392005201512156</v>
      </c>
      <c r="D600" t="str">
        <f t="shared" si="19"/>
        <v>Normal</v>
      </c>
    </row>
    <row r="601" spans="1:4" x14ac:dyDescent="0.25">
      <c r="A601">
        <v>11.15</v>
      </c>
      <c r="C601">
        <f t="shared" si="18"/>
        <v>1.422882479894312</v>
      </c>
      <c r="D601" t="str">
        <f t="shared" si="19"/>
        <v>Normal</v>
      </c>
    </row>
    <row r="602" spans="1:4" x14ac:dyDescent="0.25">
      <c r="A602">
        <v>-0.92</v>
      </c>
      <c r="C602">
        <f t="shared" si="18"/>
        <v>-0.6581685778893982</v>
      </c>
      <c r="D602" t="str">
        <f t="shared" si="19"/>
        <v>Normal</v>
      </c>
    </row>
    <row r="603" spans="1:4" x14ac:dyDescent="0.25">
      <c r="A603">
        <v>0.69</v>
      </c>
      <c r="C603">
        <f t="shared" si="18"/>
        <v>-0.38058016007400691</v>
      </c>
      <c r="D603" t="str">
        <f t="shared" si="19"/>
        <v>Normal</v>
      </c>
    </row>
    <row r="604" spans="1:4" x14ac:dyDescent="0.25">
      <c r="A604">
        <v>4.59</v>
      </c>
      <c r="C604">
        <f t="shared" si="18"/>
        <v>0.29183898867135105</v>
      </c>
      <c r="D604" t="str">
        <f t="shared" si="19"/>
        <v>Normal</v>
      </c>
    </row>
    <row r="605" spans="1:4" x14ac:dyDescent="0.25">
      <c r="A605">
        <v>11.36</v>
      </c>
      <c r="C605">
        <f t="shared" si="18"/>
        <v>1.4590896648267544</v>
      </c>
      <c r="D605" t="str">
        <f t="shared" si="19"/>
        <v>Normal</v>
      </c>
    </row>
    <row r="606" spans="1:4" x14ac:dyDescent="0.25">
      <c r="A606">
        <v>-2.76</v>
      </c>
      <c r="C606">
        <f t="shared" si="18"/>
        <v>-0.97541248396413127</v>
      </c>
      <c r="D606" t="str">
        <f t="shared" si="19"/>
        <v>Normal</v>
      </c>
    </row>
    <row r="607" spans="1:4" x14ac:dyDescent="0.25">
      <c r="A607">
        <v>4.28</v>
      </c>
      <c r="C607">
        <f t="shared" si="18"/>
        <v>0.2383902871044124</v>
      </c>
      <c r="D607" t="str">
        <f t="shared" si="19"/>
        <v>Normal</v>
      </c>
    </row>
    <row r="608" spans="1:4" x14ac:dyDescent="0.25">
      <c r="A608">
        <v>13.87</v>
      </c>
      <c r="C608">
        <f t="shared" si="18"/>
        <v>1.8918517323526129</v>
      </c>
      <c r="D608" t="str">
        <f t="shared" si="19"/>
        <v>Normal</v>
      </c>
    </row>
    <row r="609" spans="1:4" x14ac:dyDescent="0.25">
      <c r="A609">
        <v>2.97</v>
      </c>
      <c r="C609">
        <f t="shared" si="18"/>
        <v>1.2526419192510099E-2</v>
      </c>
      <c r="D609" t="str">
        <f t="shared" si="19"/>
        <v>Normal</v>
      </c>
    </row>
    <row r="610" spans="1:4" x14ac:dyDescent="0.25">
      <c r="A610">
        <v>10.48</v>
      </c>
      <c r="C610">
        <f t="shared" si="18"/>
        <v>1.3073643184431865</v>
      </c>
      <c r="D610" t="str">
        <f t="shared" si="19"/>
        <v>Normal</v>
      </c>
    </row>
    <row r="611" spans="1:4" x14ac:dyDescent="0.25">
      <c r="A611">
        <v>1.62</v>
      </c>
      <c r="C611">
        <f t="shared" si="18"/>
        <v>-0.22023405537319074</v>
      </c>
      <c r="D611" t="str">
        <f t="shared" si="19"/>
        <v>Normal</v>
      </c>
    </row>
    <row r="612" spans="1:4" x14ac:dyDescent="0.25">
      <c r="A612">
        <v>0.69</v>
      </c>
      <c r="C612">
        <f t="shared" si="18"/>
        <v>-0.38058016007400691</v>
      </c>
      <c r="D612" t="str">
        <f t="shared" si="19"/>
        <v>Normal</v>
      </c>
    </row>
    <row r="613" spans="1:4" x14ac:dyDescent="0.25">
      <c r="A613">
        <v>16.93</v>
      </c>
      <c r="C613">
        <f t="shared" si="18"/>
        <v>2.4194421413682017</v>
      </c>
      <c r="D613" t="str">
        <f t="shared" si="19"/>
        <v>Normal</v>
      </c>
    </row>
    <row r="614" spans="1:4" x14ac:dyDescent="0.25">
      <c r="A614">
        <v>-3.55</v>
      </c>
      <c r="C614">
        <f t="shared" si="18"/>
        <v>-1.1116204653766524</v>
      </c>
      <c r="D614" t="str">
        <f t="shared" si="19"/>
        <v>Normal</v>
      </c>
    </row>
    <row r="615" spans="1:4" x14ac:dyDescent="0.25">
      <c r="A615">
        <v>13.92</v>
      </c>
      <c r="C615">
        <f t="shared" si="18"/>
        <v>1.9004724906698611</v>
      </c>
      <c r="D615" t="str">
        <f t="shared" si="19"/>
        <v>Normal</v>
      </c>
    </row>
    <row r="616" spans="1:4" x14ac:dyDescent="0.25">
      <c r="A616">
        <v>0.82</v>
      </c>
      <c r="C616">
        <f t="shared" si="18"/>
        <v>-0.35816618844916165</v>
      </c>
      <c r="D616" t="str">
        <f t="shared" si="19"/>
        <v>Normal</v>
      </c>
    </row>
    <row r="617" spans="1:4" x14ac:dyDescent="0.25">
      <c r="A617">
        <v>2.21</v>
      </c>
      <c r="C617">
        <f t="shared" si="18"/>
        <v>-0.11850910722966226</v>
      </c>
      <c r="D617" t="str">
        <f t="shared" si="19"/>
        <v>Normal</v>
      </c>
    </row>
    <row r="618" spans="1:4" x14ac:dyDescent="0.25">
      <c r="A618">
        <v>9.64</v>
      </c>
      <c r="C618">
        <f t="shared" si="18"/>
        <v>1.1625355787134171</v>
      </c>
      <c r="D618" t="str">
        <f t="shared" si="19"/>
        <v>Normal</v>
      </c>
    </row>
    <row r="619" spans="1:4" x14ac:dyDescent="0.25">
      <c r="A619">
        <v>13.1</v>
      </c>
      <c r="C619">
        <f t="shared" si="18"/>
        <v>1.759092054266991</v>
      </c>
      <c r="D619" t="str">
        <f t="shared" si="19"/>
        <v>Normal</v>
      </c>
    </row>
    <row r="620" spans="1:4" x14ac:dyDescent="0.25">
      <c r="A620">
        <v>6.42</v>
      </c>
      <c r="C620">
        <f t="shared" si="18"/>
        <v>0.60735874308263438</v>
      </c>
      <c r="D620" t="str">
        <f t="shared" si="19"/>
        <v>Normal</v>
      </c>
    </row>
    <row r="621" spans="1:4" x14ac:dyDescent="0.25">
      <c r="A621">
        <v>16.95</v>
      </c>
      <c r="C621">
        <f t="shared" si="18"/>
        <v>2.4228904446951005</v>
      </c>
      <c r="D621" t="str">
        <f t="shared" si="19"/>
        <v>Normal</v>
      </c>
    </row>
    <row r="622" spans="1:4" x14ac:dyDescent="0.25">
      <c r="A622">
        <v>1.36</v>
      </c>
      <c r="C622">
        <f t="shared" si="18"/>
        <v>-0.26506199862288127</v>
      </c>
      <c r="D622" t="str">
        <f t="shared" si="19"/>
        <v>Normal</v>
      </c>
    </row>
    <row r="623" spans="1:4" x14ac:dyDescent="0.25">
      <c r="A623">
        <v>1.88</v>
      </c>
      <c r="C623">
        <f t="shared" si="18"/>
        <v>-0.17540611212350027</v>
      </c>
      <c r="D623" t="str">
        <f t="shared" si="19"/>
        <v>Normal</v>
      </c>
    </row>
    <row r="624" spans="1:4" x14ac:dyDescent="0.25">
      <c r="A624">
        <v>4.78</v>
      </c>
      <c r="C624">
        <f t="shared" si="18"/>
        <v>0.32459787027689418</v>
      </c>
      <c r="D624" t="str">
        <f t="shared" si="19"/>
        <v>Normal</v>
      </c>
    </row>
    <row r="625" spans="1:4" x14ac:dyDescent="0.25">
      <c r="A625">
        <v>9.24</v>
      </c>
      <c r="C625">
        <f t="shared" si="18"/>
        <v>1.0935695121754316</v>
      </c>
      <c r="D625" t="str">
        <f t="shared" si="19"/>
        <v>Normal</v>
      </c>
    </row>
    <row r="626" spans="1:4" x14ac:dyDescent="0.25">
      <c r="A626">
        <v>1.28</v>
      </c>
      <c r="C626">
        <f t="shared" si="18"/>
        <v>-0.27885521193047835</v>
      </c>
      <c r="D626" t="str">
        <f t="shared" si="19"/>
        <v>Normal</v>
      </c>
    </row>
    <row r="627" spans="1:4" x14ac:dyDescent="0.25">
      <c r="A627">
        <v>-4.8</v>
      </c>
      <c r="C627">
        <f t="shared" si="18"/>
        <v>-1.3271394233078568</v>
      </c>
      <c r="D627" t="str">
        <f t="shared" si="19"/>
        <v>Normal</v>
      </c>
    </row>
    <row r="628" spans="1:4" x14ac:dyDescent="0.25">
      <c r="A628">
        <v>-3.12</v>
      </c>
      <c r="C628">
        <f t="shared" si="18"/>
        <v>-1.037481943848318</v>
      </c>
      <c r="D628" t="str">
        <f t="shared" si="19"/>
        <v>Normal</v>
      </c>
    </row>
    <row r="629" spans="1:4" x14ac:dyDescent="0.25">
      <c r="A629">
        <v>-1.85</v>
      </c>
      <c r="C629">
        <f t="shared" si="18"/>
        <v>-0.81851468259021443</v>
      </c>
      <c r="D629" t="str">
        <f t="shared" si="19"/>
        <v>Normal</v>
      </c>
    </row>
    <row r="630" spans="1:4" x14ac:dyDescent="0.25">
      <c r="A630">
        <v>0.65</v>
      </c>
      <c r="C630">
        <f t="shared" si="18"/>
        <v>-0.38747676672780546</v>
      </c>
      <c r="D630" t="str">
        <f t="shared" si="19"/>
        <v>Normal</v>
      </c>
    </row>
    <row r="631" spans="1:4" x14ac:dyDescent="0.25">
      <c r="A631">
        <v>-1.58</v>
      </c>
      <c r="C631">
        <f t="shared" si="18"/>
        <v>-0.77196258767707426</v>
      </c>
      <c r="D631" t="str">
        <f t="shared" si="19"/>
        <v>Normal</v>
      </c>
    </row>
    <row r="632" spans="1:4" x14ac:dyDescent="0.25">
      <c r="A632">
        <v>-0.42</v>
      </c>
      <c r="C632">
        <f t="shared" si="18"/>
        <v>-0.57196099471691642</v>
      </c>
      <c r="D632" t="str">
        <f t="shared" si="19"/>
        <v>Normal</v>
      </c>
    </row>
    <row r="633" spans="1:4" x14ac:dyDescent="0.25">
      <c r="A633">
        <v>1.36</v>
      </c>
      <c r="C633">
        <f t="shared" si="18"/>
        <v>-0.26506199862288127</v>
      </c>
      <c r="D633" t="str">
        <f t="shared" si="19"/>
        <v>Normal</v>
      </c>
    </row>
    <row r="634" spans="1:4" x14ac:dyDescent="0.25">
      <c r="A634">
        <v>0.8</v>
      </c>
      <c r="C634">
        <f t="shared" si="18"/>
        <v>-0.36161449177606086</v>
      </c>
      <c r="D634" t="str">
        <f t="shared" si="19"/>
        <v>Normal</v>
      </c>
    </row>
    <row r="635" spans="1:4" x14ac:dyDescent="0.25">
      <c r="A635">
        <v>14.39</v>
      </c>
      <c r="C635">
        <f t="shared" si="18"/>
        <v>1.9815076188519942</v>
      </c>
      <c r="D635" t="str">
        <f t="shared" si="19"/>
        <v>Normal</v>
      </c>
    </row>
    <row r="636" spans="1:4" x14ac:dyDescent="0.25">
      <c r="A636">
        <v>3.1</v>
      </c>
      <c r="C636">
        <f t="shared" si="18"/>
        <v>3.4940390817355345E-2</v>
      </c>
      <c r="D636" t="str">
        <f t="shared" si="19"/>
        <v>Normal</v>
      </c>
    </row>
    <row r="637" spans="1:4" x14ac:dyDescent="0.25">
      <c r="A637">
        <v>7.92</v>
      </c>
      <c r="C637">
        <f t="shared" si="18"/>
        <v>0.86598149260007973</v>
      </c>
      <c r="D637" t="str">
        <f t="shared" si="19"/>
        <v>Normal</v>
      </c>
    </row>
    <row r="638" spans="1:4" x14ac:dyDescent="0.25">
      <c r="A638">
        <v>2.59</v>
      </c>
      <c r="C638">
        <f t="shared" si="18"/>
        <v>-5.2991344018576123E-2</v>
      </c>
      <c r="D638" t="str">
        <f t="shared" si="19"/>
        <v>Normal</v>
      </c>
    </row>
    <row r="639" spans="1:4" x14ac:dyDescent="0.25">
      <c r="A639">
        <v>-2.6</v>
      </c>
      <c r="C639">
        <f t="shared" si="18"/>
        <v>-0.9478260573489371</v>
      </c>
      <c r="D639" t="str">
        <f t="shared" si="19"/>
        <v>Normal</v>
      </c>
    </row>
    <row r="640" spans="1:4" x14ac:dyDescent="0.25">
      <c r="A640">
        <v>5.31</v>
      </c>
      <c r="C640">
        <f t="shared" si="18"/>
        <v>0.41597790843972476</v>
      </c>
      <c r="D640" t="str">
        <f t="shared" si="19"/>
        <v>Normal</v>
      </c>
    </row>
    <row r="641" spans="1:4" x14ac:dyDescent="0.25">
      <c r="A641">
        <v>12.57</v>
      </c>
      <c r="C641">
        <f t="shared" si="18"/>
        <v>1.6677120161041603</v>
      </c>
      <c r="D641" t="str">
        <f t="shared" si="19"/>
        <v>Normal</v>
      </c>
    </row>
    <row r="642" spans="1:4" x14ac:dyDescent="0.25">
      <c r="A642">
        <v>1.63</v>
      </c>
      <c r="C642">
        <f t="shared" si="18"/>
        <v>-0.21850990370974116</v>
      </c>
      <c r="D642" t="str">
        <f t="shared" si="19"/>
        <v>Normal</v>
      </c>
    </row>
    <row r="643" spans="1:4" x14ac:dyDescent="0.25">
      <c r="A643">
        <v>14.25</v>
      </c>
      <c r="C643">
        <f t="shared" ref="C643:C706" si="20">(A643 - $B$5) / $B$7</f>
        <v>1.9573694955636991</v>
      </c>
      <c r="D643" t="str">
        <f t="shared" ref="D643:D706" si="21">IF(ABS(C643) &gt; 2.5, "Outlier", "Normal")</f>
        <v>Normal</v>
      </c>
    </row>
    <row r="644" spans="1:4" x14ac:dyDescent="0.25">
      <c r="A644">
        <v>1.05</v>
      </c>
      <c r="C644">
        <f t="shared" si="20"/>
        <v>-0.31851070018981997</v>
      </c>
      <c r="D644" t="str">
        <f t="shared" si="21"/>
        <v>Normal</v>
      </c>
    </row>
    <row r="645" spans="1:4" x14ac:dyDescent="0.25">
      <c r="A645">
        <v>3.76</v>
      </c>
      <c r="C645">
        <f t="shared" si="20"/>
        <v>0.14873440060503126</v>
      </c>
      <c r="D645" t="str">
        <f t="shared" si="21"/>
        <v>Normal</v>
      </c>
    </row>
    <row r="646" spans="1:4" x14ac:dyDescent="0.25">
      <c r="A646">
        <v>4.4400000000000004</v>
      </c>
      <c r="C646">
        <f t="shared" si="20"/>
        <v>0.26597671371960657</v>
      </c>
      <c r="D646" t="str">
        <f t="shared" si="21"/>
        <v>Normal</v>
      </c>
    </row>
    <row r="647" spans="1:4" x14ac:dyDescent="0.25">
      <c r="A647">
        <v>15.84</v>
      </c>
      <c r="C647">
        <f t="shared" si="20"/>
        <v>2.2315096100521914</v>
      </c>
      <c r="D647" t="str">
        <f t="shared" si="21"/>
        <v>Normal</v>
      </c>
    </row>
    <row r="648" spans="1:4" x14ac:dyDescent="0.25">
      <c r="A648">
        <v>6.09</v>
      </c>
      <c r="C648">
        <f t="shared" si="20"/>
        <v>0.5504617381887964</v>
      </c>
      <c r="D648" t="str">
        <f t="shared" si="21"/>
        <v>Normal</v>
      </c>
    </row>
    <row r="649" spans="1:4" x14ac:dyDescent="0.25">
      <c r="A649">
        <v>1.42</v>
      </c>
      <c r="C649">
        <f t="shared" si="20"/>
        <v>-0.25471708864218351</v>
      </c>
      <c r="D649" t="str">
        <f t="shared" si="21"/>
        <v>Normal</v>
      </c>
    </row>
    <row r="650" spans="1:4" x14ac:dyDescent="0.25">
      <c r="A650">
        <v>8.18</v>
      </c>
      <c r="C650">
        <f t="shared" si="20"/>
        <v>0.91080943584977014</v>
      </c>
      <c r="D650" t="str">
        <f t="shared" si="21"/>
        <v>Normal</v>
      </c>
    </row>
    <row r="651" spans="1:4" x14ac:dyDescent="0.25">
      <c r="A651">
        <v>4.25</v>
      </c>
      <c r="C651">
        <f t="shared" si="20"/>
        <v>0.23321783211406344</v>
      </c>
      <c r="D651" t="str">
        <f t="shared" si="21"/>
        <v>Normal</v>
      </c>
    </row>
    <row r="652" spans="1:4" x14ac:dyDescent="0.25">
      <c r="A652">
        <v>2.71</v>
      </c>
      <c r="C652">
        <f t="shared" si="20"/>
        <v>-3.2301524057180474E-2</v>
      </c>
      <c r="D652" t="str">
        <f t="shared" si="21"/>
        <v>Normal</v>
      </c>
    </row>
    <row r="653" spans="1:4" x14ac:dyDescent="0.25">
      <c r="A653">
        <v>9.5500000000000007</v>
      </c>
      <c r="C653">
        <f t="shared" si="20"/>
        <v>1.1470182137423706</v>
      </c>
      <c r="D653" t="str">
        <f t="shared" si="21"/>
        <v>Normal</v>
      </c>
    </row>
    <row r="654" spans="1:4" x14ac:dyDescent="0.25">
      <c r="A654">
        <v>0.28999999999999998</v>
      </c>
      <c r="C654">
        <f t="shared" si="20"/>
        <v>-0.44954622661199234</v>
      </c>
      <c r="D654" t="str">
        <f t="shared" si="21"/>
        <v>Normal</v>
      </c>
    </row>
    <row r="655" spans="1:4" x14ac:dyDescent="0.25">
      <c r="A655">
        <v>-0.89</v>
      </c>
      <c r="C655">
        <f t="shared" si="20"/>
        <v>-0.6529961228990494</v>
      </c>
      <c r="D655" t="str">
        <f t="shared" si="21"/>
        <v>Normal</v>
      </c>
    </row>
    <row r="656" spans="1:4" x14ac:dyDescent="0.25">
      <c r="A656">
        <v>3.52</v>
      </c>
      <c r="C656">
        <f t="shared" si="20"/>
        <v>0.10735476068224004</v>
      </c>
      <c r="D656" t="str">
        <f t="shared" si="21"/>
        <v>Normal</v>
      </c>
    </row>
    <row r="657" spans="1:4" x14ac:dyDescent="0.25">
      <c r="A657">
        <v>-3.97</v>
      </c>
      <c r="C657">
        <f t="shared" si="20"/>
        <v>-1.1840348352415373</v>
      </c>
      <c r="D657" t="str">
        <f t="shared" si="21"/>
        <v>Normal</v>
      </c>
    </row>
    <row r="658" spans="1:4" x14ac:dyDescent="0.25">
      <c r="A658">
        <v>12.01</v>
      </c>
      <c r="C658">
        <f t="shared" si="20"/>
        <v>1.5711595229509807</v>
      </c>
      <c r="D658" t="str">
        <f t="shared" si="21"/>
        <v>Normal</v>
      </c>
    </row>
    <row r="659" spans="1:4" x14ac:dyDescent="0.25">
      <c r="A659">
        <v>17.23</v>
      </c>
      <c r="C659">
        <f t="shared" si="20"/>
        <v>2.4711666912716908</v>
      </c>
      <c r="D659" t="str">
        <f t="shared" si="21"/>
        <v>Normal</v>
      </c>
    </row>
    <row r="660" spans="1:4" x14ac:dyDescent="0.25">
      <c r="A660">
        <v>1.48</v>
      </c>
      <c r="C660">
        <f t="shared" si="20"/>
        <v>-0.24437217866148567</v>
      </c>
      <c r="D660" t="str">
        <f t="shared" si="21"/>
        <v>Normal</v>
      </c>
    </row>
    <row r="661" spans="1:4" x14ac:dyDescent="0.25">
      <c r="A661">
        <v>15.12</v>
      </c>
      <c r="C661">
        <f t="shared" si="20"/>
        <v>2.1073706902838172</v>
      </c>
      <c r="D661" t="str">
        <f t="shared" si="21"/>
        <v>Normal</v>
      </c>
    </row>
    <row r="662" spans="1:4" x14ac:dyDescent="0.25">
      <c r="A662">
        <v>1.28</v>
      </c>
      <c r="C662">
        <f t="shared" si="20"/>
        <v>-0.27885521193047835</v>
      </c>
      <c r="D662" t="str">
        <f t="shared" si="21"/>
        <v>Normal</v>
      </c>
    </row>
    <row r="663" spans="1:4" x14ac:dyDescent="0.25">
      <c r="A663">
        <v>3.23</v>
      </c>
      <c r="C663">
        <f t="shared" si="20"/>
        <v>5.7354362442200595E-2</v>
      </c>
      <c r="D663" t="str">
        <f t="shared" si="21"/>
        <v>Normal</v>
      </c>
    </row>
    <row r="664" spans="1:4" x14ac:dyDescent="0.25">
      <c r="A664">
        <v>1.32</v>
      </c>
      <c r="C664">
        <f t="shared" si="20"/>
        <v>-0.27195860527667981</v>
      </c>
      <c r="D664" t="str">
        <f t="shared" si="21"/>
        <v>Normal</v>
      </c>
    </row>
    <row r="665" spans="1:4" x14ac:dyDescent="0.25">
      <c r="A665">
        <v>10.53</v>
      </c>
      <c r="C665">
        <f t="shared" si="20"/>
        <v>1.3159850767604346</v>
      </c>
      <c r="D665" t="str">
        <f t="shared" si="21"/>
        <v>Normal</v>
      </c>
    </row>
    <row r="666" spans="1:4" x14ac:dyDescent="0.25">
      <c r="A666">
        <v>-3.32</v>
      </c>
      <c r="C666">
        <f t="shared" si="20"/>
        <v>-1.0719649771173108</v>
      </c>
      <c r="D666" t="str">
        <f t="shared" si="21"/>
        <v>Normal</v>
      </c>
    </row>
    <row r="667" spans="1:4" x14ac:dyDescent="0.25">
      <c r="A667">
        <v>17.100000000000001</v>
      </c>
      <c r="C667">
        <f t="shared" si="20"/>
        <v>2.4487527196468455</v>
      </c>
      <c r="D667" t="str">
        <f t="shared" si="21"/>
        <v>Normal</v>
      </c>
    </row>
    <row r="668" spans="1:4" x14ac:dyDescent="0.25">
      <c r="A668">
        <v>8.32</v>
      </c>
      <c r="C668">
        <f t="shared" si="20"/>
        <v>0.93494755913806515</v>
      </c>
      <c r="D668" t="str">
        <f t="shared" si="21"/>
        <v>Normal</v>
      </c>
    </row>
    <row r="669" spans="1:4" x14ac:dyDescent="0.25">
      <c r="A669">
        <v>-2.3199999999999998</v>
      </c>
      <c r="C669">
        <f t="shared" si="20"/>
        <v>-0.89954981077234719</v>
      </c>
      <c r="D669" t="str">
        <f t="shared" si="21"/>
        <v>Normal</v>
      </c>
    </row>
    <row r="670" spans="1:4" x14ac:dyDescent="0.25">
      <c r="A670">
        <v>-0.7</v>
      </c>
      <c r="C670">
        <f t="shared" si="20"/>
        <v>-0.62023724129350621</v>
      </c>
      <c r="D670" t="str">
        <f t="shared" si="21"/>
        <v>Normal</v>
      </c>
    </row>
    <row r="671" spans="1:4" x14ac:dyDescent="0.25">
      <c r="A671">
        <v>6.03</v>
      </c>
      <c r="C671">
        <f t="shared" si="20"/>
        <v>0.5401168282080987</v>
      </c>
      <c r="D671" t="str">
        <f t="shared" si="21"/>
        <v>Normal</v>
      </c>
    </row>
    <row r="672" spans="1:4" x14ac:dyDescent="0.25">
      <c r="A672">
        <v>3.06</v>
      </c>
      <c r="C672">
        <f t="shared" si="20"/>
        <v>2.8043784163556795E-2</v>
      </c>
      <c r="D672" t="str">
        <f t="shared" si="21"/>
        <v>Normal</v>
      </c>
    </row>
    <row r="673" spans="1:4" x14ac:dyDescent="0.25">
      <c r="A673">
        <v>0.3</v>
      </c>
      <c r="C673">
        <f t="shared" si="20"/>
        <v>-0.4478220749485427</v>
      </c>
      <c r="D673" t="str">
        <f t="shared" si="21"/>
        <v>Normal</v>
      </c>
    </row>
    <row r="674" spans="1:4" x14ac:dyDescent="0.25">
      <c r="A674">
        <v>11.9</v>
      </c>
      <c r="C674">
        <f t="shared" si="20"/>
        <v>1.5521938546530347</v>
      </c>
      <c r="D674" t="str">
        <f t="shared" si="21"/>
        <v>Normal</v>
      </c>
    </row>
    <row r="675" spans="1:4" x14ac:dyDescent="0.25">
      <c r="A675">
        <v>15.48</v>
      </c>
      <c r="C675">
        <f t="shared" si="20"/>
        <v>2.1694401501680045</v>
      </c>
      <c r="D675" t="str">
        <f t="shared" si="21"/>
        <v>Normal</v>
      </c>
    </row>
    <row r="676" spans="1:4" x14ac:dyDescent="0.25">
      <c r="A676">
        <v>4.45</v>
      </c>
      <c r="C676">
        <f t="shared" si="20"/>
        <v>0.26770086538305621</v>
      </c>
      <c r="D676" t="str">
        <f t="shared" si="21"/>
        <v>Normal</v>
      </c>
    </row>
    <row r="677" spans="1:4" x14ac:dyDescent="0.25">
      <c r="A677">
        <v>3.67</v>
      </c>
      <c r="C677">
        <f t="shared" si="20"/>
        <v>0.13321703563398457</v>
      </c>
      <c r="D677" t="str">
        <f t="shared" si="21"/>
        <v>Normal</v>
      </c>
    </row>
    <row r="678" spans="1:4" x14ac:dyDescent="0.25">
      <c r="A678">
        <v>5.25</v>
      </c>
      <c r="C678">
        <f t="shared" si="20"/>
        <v>0.40563299845902701</v>
      </c>
      <c r="D678" t="str">
        <f t="shared" si="21"/>
        <v>Normal</v>
      </c>
    </row>
    <row r="679" spans="1:4" x14ac:dyDescent="0.25">
      <c r="A679">
        <v>6.55</v>
      </c>
      <c r="C679">
        <f t="shared" si="20"/>
        <v>0.62977271470747964</v>
      </c>
      <c r="D679" t="str">
        <f t="shared" si="21"/>
        <v>Normal</v>
      </c>
    </row>
    <row r="680" spans="1:4" x14ac:dyDescent="0.25">
      <c r="A680">
        <v>13.31</v>
      </c>
      <c r="C680">
        <f t="shared" si="20"/>
        <v>1.7952992391994336</v>
      </c>
      <c r="D680" t="str">
        <f t="shared" si="21"/>
        <v>Normal</v>
      </c>
    </row>
    <row r="681" spans="1:4" x14ac:dyDescent="0.25">
      <c r="A681">
        <v>6.23</v>
      </c>
      <c r="C681">
        <f t="shared" si="20"/>
        <v>0.57459986147709141</v>
      </c>
      <c r="D681" t="str">
        <f t="shared" si="21"/>
        <v>Normal</v>
      </c>
    </row>
    <row r="682" spans="1:4" x14ac:dyDescent="0.25">
      <c r="A682">
        <v>14.35</v>
      </c>
      <c r="C682">
        <f t="shared" si="20"/>
        <v>1.9746110121981955</v>
      </c>
      <c r="D682" t="str">
        <f t="shared" si="21"/>
        <v>Normal</v>
      </c>
    </row>
    <row r="683" spans="1:4" x14ac:dyDescent="0.25">
      <c r="A683">
        <v>-2.02</v>
      </c>
      <c r="C683">
        <f t="shared" si="20"/>
        <v>-0.84782526086885823</v>
      </c>
      <c r="D683" t="str">
        <f t="shared" si="21"/>
        <v>Normal</v>
      </c>
    </row>
    <row r="684" spans="1:4" x14ac:dyDescent="0.25">
      <c r="A684">
        <v>14.72</v>
      </c>
      <c r="C684">
        <f t="shared" si="20"/>
        <v>2.0384046237458322</v>
      </c>
      <c r="D684" t="str">
        <f t="shared" si="21"/>
        <v>Normal</v>
      </c>
    </row>
    <row r="685" spans="1:4" x14ac:dyDescent="0.25">
      <c r="A685">
        <v>-2.0299999999999998</v>
      </c>
      <c r="C685">
        <f t="shared" si="20"/>
        <v>-0.84954941253230776</v>
      </c>
      <c r="D685" t="str">
        <f t="shared" si="21"/>
        <v>Normal</v>
      </c>
    </row>
    <row r="686" spans="1:4" x14ac:dyDescent="0.25">
      <c r="A686">
        <v>-2.0699999999999998</v>
      </c>
      <c r="C686">
        <f t="shared" si="20"/>
        <v>-0.8564460191861063</v>
      </c>
      <c r="D686" t="str">
        <f t="shared" si="21"/>
        <v>Normal</v>
      </c>
    </row>
    <row r="687" spans="1:4" x14ac:dyDescent="0.25">
      <c r="A687">
        <v>1.42</v>
      </c>
      <c r="C687">
        <f t="shared" si="20"/>
        <v>-0.25471708864218351</v>
      </c>
      <c r="D687" t="str">
        <f t="shared" si="21"/>
        <v>Normal</v>
      </c>
    </row>
    <row r="688" spans="1:4" x14ac:dyDescent="0.25">
      <c r="A688">
        <v>-3.49</v>
      </c>
      <c r="C688">
        <f t="shared" si="20"/>
        <v>-1.1012755553959548</v>
      </c>
      <c r="D688" t="str">
        <f t="shared" si="21"/>
        <v>Normal</v>
      </c>
    </row>
    <row r="689" spans="1:4" x14ac:dyDescent="0.25">
      <c r="A689">
        <v>-1.95</v>
      </c>
      <c r="C689">
        <f t="shared" si="20"/>
        <v>-0.83575619922471067</v>
      </c>
      <c r="D689" t="str">
        <f t="shared" si="21"/>
        <v>Normal</v>
      </c>
    </row>
    <row r="690" spans="1:4" x14ac:dyDescent="0.25">
      <c r="A690">
        <v>-1.1299999999999999</v>
      </c>
      <c r="C690">
        <f t="shared" si="20"/>
        <v>-0.69437576282184055</v>
      </c>
      <c r="D690" t="str">
        <f t="shared" si="21"/>
        <v>Normal</v>
      </c>
    </row>
    <row r="691" spans="1:4" x14ac:dyDescent="0.25">
      <c r="A691">
        <v>3.2</v>
      </c>
      <c r="C691">
        <f t="shared" si="20"/>
        <v>5.2181907451851715E-2</v>
      </c>
      <c r="D691" t="str">
        <f t="shared" si="21"/>
        <v>Normal</v>
      </c>
    </row>
    <row r="692" spans="1:4" x14ac:dyDescent="0.25">
      <c r="A692">
        <v>5.69</v>
      </c>
      <c r="C692">
        <f t="shared" si="20"/>
        <v>0.48149567165081109</v>
      </c>
      <c r="D692" t="str">
        <f t="shared" si="21"/>
        <v>Normal</v>
      </c>
    </row>
    <row r="693" spans="1:4" x14ac:dyDescent="0.25">
      <c r="A693">
        <v>-1.95</v>
      </c>
      <c r="C693">
        <f t="shared" si="20"/>
        <v>-0.83575619922471067</v>
      </c>
      <c r="D693" t="str">
        <f t="shared" si="21"/>
        <v>Normal</v>
      </c>
    </row>
    <row r="694" spans="1:4" x14ac:dyDescent="0.25">
      <c r="A694">
        <v>-0.62</v>
      </c>
      <c r="C694">
        <f t="shared" si="20"/>
        <v>-0.60644402798590924</v>
      </c>
      <c r="D694" t="str">
        <f t="shared" si="21"/>
        <v>Normal</v>
      </c>
    </row>
    <row r="695" spans="1:4" x14ac:dyDescent="0.25">
      <c r="A695">
        <v>7.48</v>
      </c>
      <c r="C695">
        <f t="shared" si="20"/>
        <v>0.79011881940829576</v>
      </c>
      <c r="D695" t="str">
        <f t="shared" si="21"/>
        <v>Normal</v>
      </c>
    </row>
    <row r="696" spans="1:4" x14ac:dyDescent="0.25">
      <c r="A696">
        <v>17.18</v>
      </c>
      <c r="C696">
        <f t="shared" si="20"/>
        <v>2.4625459329544426</v>
      </c>
      <c r="D696" t="str">
        <f t="shared" si="21"/>
        <v>Normal</v>
      </c>
    </row>
    <row r="697" spans="1:4" x14ac:dyDescent="0.25">
      <c r="A697">
        <v>-3.75</v>
      </c>
      <c r="C697">
        <f t="shared" si="20"/>
        <v>-1.1461034986456453</v>
      </c>
      <c r="D697" t="str">
        <f t="shared" si="21"/>
        <v>Normal</v>
      </c>
    </row>
    <row r="698" spans="1:4" x14ac:dyDescent="0.25">
      <c r="A698">
        <v>-3.11</v>
      </c>
      <c r="C698">
        <f t="shared" si="20"/>
        <v>-1.0357577921848684</v>
      </c>
      <c r="D698" t="str">
        <f t="shared" si="21"/>
        <v>Normal</v>
      </c>
    </row>
    <row r="699" spans="1:4" x14ac:dyDescent="0.25">
      <c r="A699">
        <v>1.95</v>
      </c>
      <c r="C699">
        <f t="shared" si="20"/>
        <v>-0.16333705047935279</v>
      </c>
      <c r="D699" t="str">
        <f t="shared" si="21"/>
        <v>Normal</v>
      </c>
    </row>
    <row r="700" spans="1:4" x14ac:dyDescent="0.25">
      <c r="A700">
        <v>-1.92</v>
      </c>
      <c r="C700">
        <f t="shared" si="20"/>
        <v>-0.83058374423436188</v>
      </c>
      <c r="D700" t="str">
        <f t="shared" si="21"/>
        <v>Normal</v>
      </c>
    </row>
    <row r="701" spans="1:4" x14ac:dyDescent="0.25">
      <c r="A701">
        <v>16.829999999999998</v>
      </c>
      <c r="C701">
        <f t="shared" si="20"/>
        <v>2.4022006247337049</v>
      </c>
      <c r="D701" t="str">
        <f t="shared" si="21"/>
        <v>Normal</v>
      </c>
    </row>
    <row r="702" spans="1:4" x14ac:dyDescent="0.25">
      <c r="A702">
        <v>7.68</v>
      </c>
      <c r="C702">
        <f t="shared" si="20"/>
        <v>0.82460185267728836</v>
      </c>
      <c r="D702" t="str">
        <f t="shared" si="21"/>
        <v>Normal</v>
      </c>
    </row>
    <row r="703" spans="1:4" x14ac:dyDescent="0.25">
      <c r="A703">
        <v>2.5099999999999998</v>
      </c>
      <c r="C703">
        <f t="shared" si="20"/>
        <v>-6.6784557326173222E-2</v>
      </c>
      <c r="D703" t="str">
        <f t="shared" si="21"/>
        <v>Normal</v>
      </c>
    </row>
    <row r="704" spans="1:4" x14ac:dyDescent="0.25">
      <c r="A704">
        <v>-4.5199999999999996</v>
      </c>
      <c r="C704">
        <f t="shared" si="20"/>
        <v>-1.2788631767312673</v>
      </c>
      <c r="D704" t="str">
        <f t="shared" si="21"/>
        <v>Normal</v>
      </c>
    </row>
    <row r="705" spans="1:4" x14ac:dyDescent="0.25">
      <c r="A705">
        <v>5.27</v>
      </c>
      <c r="C705">
        <f t="shared" si="20"/>
        <v>0.40908130178592622</v>
      </c>
      <c r="D705" t="str">
        <f t="shared" si="21"/>
        <v>Normal</v>
      </c>
    </row>
    <row r="706" spans="1:4" x14ac:dyDescent="0.25">
      <c r="A706">
        <v>8.9</v>
      </c>
      <c r="C706">
        <f t="shared" si="20"/>
        <v>1.034948355618144</v>
      </c>
      <c r="D706" t="str">
        <f t="shared" si="21"/>
        <v>Normal</v>
      </c>
    </row>
    <row r="707" spans="1:4" x14ac:dyDescent="0.25">
      <c r="A707">
        <v>-1.03</v>
      </c>
      <c r="C707">
        <f t="shared" ref="C707:C770" si="22">(A707 - $B$5) / $B$7</f>
        <v>-0.67713424618734419</v>
      </c>
      <c r="D707" t="str">
        <f t="shared" ref="D707:D770" si="23">IF(ABS(C707) &gt; 2.5, "Outlier", "Normal")</f>
        <v>Normal</v>
      </c>
    </row>
    <row r="708" spans="1:4" x14ac:dyDescent="0.25">
      <c r="A708">
        <v>2.02</v>
      </c>
      <c r="C708">
        <f t="shared" si="22"/>
        <v>-0.15126798883520534</v>
      </c>
      <c r="D708" t="str">
        <f t="shared" si="23"/>
        <v>Normal</v>
      </c>
    </row>
    <row r="709" spans="1:4" x14ac:dyDescent="0.25">
      <c r="A709">
        <v>-2.3199999999999998</v>
      </c>
      <c r="C709">
        <f t="shared" si="22"/>
        <v>-0.89954981077234719</v>
      </c>
      <c r="D709" t="str">
        <f t="shared" si="23"/>
        <v>Normal</v>
      </c>
    </row>
    <row r="710" spans="1:4" x14ac:dyDescent="0.25">
      <c r="A710">
        <v>-4.1100000000000003</v>
      </c>
      <c r="C710">
        <f t="shared" si="22"/>
        <v>-1.208172958529832</v>
      </c>
      <c r="D710" t="str">
        <f t="shared" si="23"/>
        <v>Normal</v>
      </c>
    </row>
    <row r="711" spans="1:4" x14ac:dyDescent="0.25">
      <c r="A711">
        <v>-1.26</v>
      </c>
      <c r="C711">
        <f t="shared" si="22"/>
        <v>-0.71678973444668592</v>
      </c>
      <c r="D711" t="str">
        <f t="shared" si="23"/>
        <v>Normal</v>
      </c>
    </row>
    <row r="712" spans="1:4" x14ac:dyDescent="0.25">
      <c r="A712">
        <v>6.07</v>
      </c>
      <c r="C712">
        <f t="shared" si="22"/>
        <v>0.54701343486189724</v>
      </c>
      <c r="D712" t="str">
        <f t="shared" si="23"/>
        <v>Normal</v>
      </c>
    </row>
    <row r="713" spans="1:4" x14ac:dyDescent="0.25">
      <c r="A713">
        <v>-0.37</v>
      </c>
      <c r="C713">
        <f t="shared" si="22"/>
        <v>-0.56334023639966835</v>
      </c>
      <c r="D713" t="str">
        <f t="shared" si="23"/>
        <v>Normal</v>
      </c>
    </row>
    <row r="714" spans="1:4" x14ac:dyDescent="0.25">
      <c r="A714">
        <v>-0.95</v>
      </c>
      <c r="C714">
        <f t="shared" si="22"/>
        <v>-0.66334103287974711</v>
      </c>
      <c r="D714" t="str">
        <f t="shared" si="23"/>
        <v>Normal</v>
      </c>
    </row>
    <row r="715" spans="1:4" x14ac:dyDescent="0.25">
      <c r="A715">
        <v>17.48</v>
      </c>
      <c r="C715">
        <f t="shared" si="22"/>
        <v>2.5142704828579316</v>
      </c>
      <c r="D715" t="str">
        <f t="shared" si="23"/>
        <v>Outlier</v>
      </c>
    </row>
    <row r="716" spans="1:4" x14ac:dyDescent="0.25">
      <c r="A716">
        <v>17.260000000000002</v>
      </c>
      <c r="C716">
        <f t="shared" si="22"/>
        <v>2.4763391462620397</v>
      </c>
      <c r="D716" t="str">
        <f t="shared" si="23"/>
        <v>Normal</v>
      </c>
    </row>
    <row r="717" spans="1:4" x14ac:dyDescent="0.25">
      <c r="A717">
        <v>-3.59</v>
      </c>
      <c r="C717">
        <f t="shared" si="22"/>
        <v>-1.1185170720304511</v>
      </c>
      <c r="D717" t="str">
        <f t="shared" si="23"/>
        <v>Normal</v>
      </c>
    </row>
    <row r="718" spans="1:4" x14ac:dyDescent="0.25">
      <c r="A718">
        <v>4.72</v>
      </c>
      <c r="C718">
        <f t="shared" si="22"/>
        <v>0.31425296029619626</v>
      </c>
      <c r="D718" t="str">
        <f t="shared" si="23"/>
        <v>Normal</v>
      </c>
    </row>
    <row r="719" spans="1:4" x14ac:dyDescent="0.25">
      <c r="A719">
        <v>-1.1200000000000001</v>
      </c>
      <c r="C719">
        <f t="shared" si="22"/>
        <v>-0.69265161115839091</v>
      </c>
      <c r="D719" t="str">
        <f t="shared" si="23"/>
        <v>Normal</v>
      </c>
    </row>
    <row r="720" spans="1:4" x14ac:dyDescent="0.25">
      <c r="A720">
        <v>0.69</v>
      </c>
      <c r="C720">
        <f t="shared" si="22"/>
        <v>-0.38058016007400691</v>
      </c>
      <c r="D720" t="str">
        <f t="shared" si="23"/>
        <v>Normal</v>
      </c>
    </row>
    <row r="721" spans="1:4" x14ac:dyDescent="0.25">
      <c r="A721">
        <v>10.09</v>
      </c>
      <c r="C721">
        <f t="shared" si="22"/>
        <v>1.2401224035686507</v>
      </c>
      <c r="D721" t="str">
        <f t="shared" si="23"/>
        <v>Normal</v>
      </c>
    </row>
    <row r="722" spans="1:4" x14ac:dyDescent="0.25">
      <c r="A722">
        <v>8.6300000000000008</v>
      </c>
      <c r="C722">
        <f t="shared" si="22"/>
        <v>0.98839626070500397</v>
      </c>
      <c r="D722" t="str">
        <f t="shared" si="23"/>
        <v>Normal</v>
      </c>
    </row>
    <row r="723" spans="1:4" x14ac:dyDescent="0.25">
      <c r="A723">
        <v>8.0500000000000007</v>
      </c>
      <c r="C723">
        <f t="shared" si="22"/>
        <v>0.8883954642249251</v>
      </c>
      <c r="D723" t="str">
        <f t="shared" si="23"/>
        <v>Normal</v>
      </c>
    </row>
    <row r="724" spans="1:4" x14ac:dyDescent="0.25">
      <c r="A724">
        <v>7.05</v>
      </c>
      <c r="C724">
        <f t="shared" si="22"/>
        <v>0.71598029787996154</v>
      </c>
      <c r="D724" t="str">
        <f t="shared" si="23"/>
        <v>Normal</v>
      </c>
    </row>
    <row r="725" spans="1:4" x14ac:dyDescent="0.25">
      <c r="A725">
        <v>1.6</v>
      </c>
      <c r="C725">
        <f t="shared" si="22"/>
        <v>-0.22368235870009001</v>
      </c>
      <c r="D725" t="str">
        <f t="shared" si="23"/>
        <v>Normal</v>
      </c>
    </row>
    <row r="726" spans="1:4" x14ac:dyDescent="0.25">
      <c r="A726">
        <v>0.55000000000000004</v>
      </c>
      <c r="C726">
        <f t="shared" si="22"/>
        <v>-0.40471828336230176</v>
      </c>
      <c r="D726" t="str">
        <f t="shared" si="23"/>
        <v>Normal</v>
      </c>
    </row>
    <row r="727" spans="1:4" x14ac:dyDescent="0.25">
      <c r="A727">
        <v>-0.54</v>
      </c>
      <c r="C727">
        <f t="shared" si="22"/>
        <v>-0.59265081467831215</v>
      </c>
      <c r="D727" t="str">
        <f t="shared" si="23"/>
        <v>Normal</v>
      </c>
    </row>
    <row r="728" spans="1:4" x14ac:dyDescent="0.25">
      <c r="A728">
        <v>10.050000000000001</v>
      </c>
      <c r="C728">
        <f t="shared" si="22"/>
        <v>1.2332257969148523</v>
      </c>
      <c r="D728" t="str">
        <f t="shared" si="23"/>
        <v>Normal</v>
      </c>
    </row>
    <row r="729" spans="1:4" x14ac:dyDescent="0.25">
      <c r="A729">
        <v>-2.69</v>
      </c>
      <c r="C729">
        <f t="shared" si="22"/>
        <v>-0.96334342231998382</v>
      </c>
      <c r="D729" t="str">
        <f t="shared" si="23"/>
        <v>Normal</v>
      </c>
    </row>
    <row r="730" spans="1:4" x14ac:dyDescent="0.25">
      <c r="A730">
        <v>7.23</v>
      </c>
      <c r="C730">
        <f t="shared" si="22"/>
        <v>0.74701502782205487</v>
      </c>
      <c r="D730" t="str">
        <f t="shared" si="23"/>
        <v>Normal</v>
      </c>
    </row>
    <row r="731" spans="1:4" x14ac:dyDescent="0.25">
      <c r="A731">
        <v>7</v>
      </c>
      <c r="C731">
        <f t="shared" si="22"/>
        <v>0.70735953956271325</v>
      </c>
      <c r="D731" t="str">
        <f t="shared" si="23"/>
        <v>Normal</v>
      </c>
    </row>
    <row r="732" spans="1:4" x14ac:dyDescent="0.25">
      <c r="A732">
        <v>8.09</v>
      </c>
      <c r="C732">
        <f t="shared" si="22"/>
        <v>0.89529207087872353</v>
      </c>
      <c r="D732" t="str">
        <f t="shared" si="23"/>
        <v>Normal</v>
      </c>
    </row>
    <row r="733" spans="1:4" x14ac:dyDescent="0.25">
      <c r="A733">
        <v>8.4700000000000006</v>
      </c>
      <c r="C733">
        <f t="shared" si="22"/>
        <v>0.9608098340898098</v>
      </c>
      <c r="D733" t="str">
        <f t="shared" si="23"/>
        <v>Normal</v>
      </c>
    </row>
    <row r="734" spans="1:4" x14ac:dyDescent="0.25">
      <c r="A734">
        <v>-3.21</v>
      </c>
      <c r="C734">
        <f t="shared" si="22"/>
        <v>-1.0529993088193648</v>
      </c>
      <c r="D734" t="str">
        <f t="shared" si="23"/>
        <v>Normal</v>
      </c>
    </row>
    <row r="735" spans="1:4" x14ac:dyDescent="0.25">
      <c r="A735">
        <v>3.92</v>
      </c>
      <c r="C735">
        <f t="shared" si="22"/>
        <v>0.17632082722022546</v>
      </c>
      <c r="D735" t="str">
        <f t="shared" si="23"/>
        <v>Normal</v>
      </c>
    </row>
    <row r="736" spans="1:4" x14ac:dyDescent="0.25">
      <c r="A736">
        <v>4.43</v>
      </c>
      <c r="C736">
        <f t="shared" si="22"/>
        <v>0.26425256205615683</v>
      </c>
      <c r="D736" t="str">
        <f t="shared" si="23"/>
        <v>Normal</v>
      </c>
    </row>
    <row r="737" spans="1:4" x14ac:dyDescent="0.25">
      <c r="A737">
        <v>1.85</v>
      </c>
      <c r="C737">
        <f t="shared" si="22"/>
        <v>-0.18057856711384912</v>
      </c>
      <c r="D737" t="str">
        <f t="shared" si="23"/>
        <v>Normal</v>
      </c>
    </row>
    <row r="738" spans="1:4" x14ac:dyDescent="0.25">
      <c r="A738">
        <v>11.38</v>
      </c>
      <c r="C738">
        <f t="shared" si="22"/>
        <v>1.4625379681536539</v>
      </c>
      <c r="D738" t="str">
        <f t="shared" si="23"/>
        <v>Normal</v>
      </c>
    </row>
    <row r="739" spans="1:4" x14ac:dyDescent="0.25">
      <c r="A739">
        <v>13.38</v>
      </c>
      <c r="C739">
        <f t="shared" si="22"/>
        <v>1.807368300843581</v>
      </c>
      <c r="D739" t="str">
        <f t="shared" si="23"/>
        <v>Normal</v>
      </c>
    </row>
    <row r="740" spans="1:4" x14ac:dyDescent="0.25">
      <c r="A740">
        <v>-2.72</v>
      </c>
      <c r="C740">
        <f t="shared" si="22"/>
        <v>-0.96851587731033273</v>
      </c>
      <c r="D740" t="str">
        <f t="shared" si="23"/>
        <v>Normal</v>
      </c>
    </row>
    <row r="741" spans="1:4" x14ac:dyDescent="0.25">
      <c r="A741">
        <v>6.33</v>
      </c>
      <c r="C741">
        <f t="shared" si="22"/>
        <v>0.59184137811158766</v>
      </c>
      <c r="D741" t="str">
        <f t="shared" si="23"/>
        <v>Normal</v>
      </c>
    </row>
    <row r="742" spans="1:4" x14ac:dyDescent="0.25">
      <c r="A742">
        <v>15.95</v>
      </c>
      <c r="C742">
        <f t="shared" si="22"/>
        <v>2.2504752783501369</v>
      </c>
      <c r="D742" t="str">
        <f t="shared" si="23"/>
        <v>Normal</v>
      </c>
    </row>
    <row r="743" spans="1:4" x14ac:dyDescent="0.25">
      <c r="A743">
        <v>-2.16</v>
      </c>
      <c r="C743">
        <f t="shared" si="22"/>
        <v>-0.87196338415715324</v>
      </c>
      <c r="D743" t="str">
        <f t="shared" si="23"/>
        <v>Normal</v>
      </c>
    </row>
    <row r="744" spans="1:4" x14ac:dyDescent="0.25">
      <c r="A744">
        <v>3.04</v>
      </c>
      <c r="C744">
        <f t="shared" si="22"/>
        <v>2.459548083665752E-2</v>
      </c>
      <c r="D744" t="str">
        <f t="shared" si="23"/>
        <v>Normal</v>
      </c>
    </row>
    <row r="745" spans="1:4" x14ac:dyDescent="0.25">
      <c r="A745">
        <v>-2.79</v>
      </c>
      <c r="C745">
        <f t="shared" si="22"/>
        <v>-0.98058493895448007</v>
      </c>
      <c r="D745" t="str">
        <f t="shared" si="23"/>
        <v>Normal</v>
      </c>
    </row>
    <row r="746" spans="1:4" x14ac:dyDescent="0.25">
      <c r="A746">
        <v>5.6</v>
      </c>
      <c r="C746">
        <f t="shared" si="22"/>
        <v>0.4659783066797642</v>
      </c>
      <c r="D746" t="str">
        <f t="shared" si="23"/>
        <v>Normal</v>
      </c>
    </row>
    <row r="747" spans="1:4" x14ac:dyDescent="0.25">
      <c r="A747">
        <v>1.64</v>
      </c>
      <c r="C747">
        <f t="shared" si="22"/>
        <v>-0.21678575204629152</v>
      </c>
      <c r="D747" t="str">
        <f t="shared" si="23"/>
        <v>Normal</v>
      </c>
    </row>
    <row r="748" spans="1:4" x14ac:dyDescent="0.25">
      <c r="A748">
        <v>-4.12</v>
      </c>
      <c r="C748">
        <f t="shared" si="22"/>
        <v>-1.2098971101932816</v>
      </c>
      <c r="D748" t="str">
        <f t="shared" si="23"/>
        <v>Normal</v>
      </c>
    </row>
    <row r="749" spans="1:4" x14ac:dyDescent="0.25">
      <c r="A749">
        <v>8.41</v>
      </c>
      <c r="C749">
        <f t="shared" si="22"/>
        <v>0.95046492410911187</v>
      </c>
      <c r="D749" t="str">
        <f t="shared" si="23"/>
        <v>Normal</v>
      </c>
    </row>
    <row r="750" spans="1:4" x14ac:dyDescent="0.25">
      <c r="A750">
        <v>16.399999999999999</v>
      </c>
      <c r="C750">
        <f t="shared" si="22"/>
        <v>2.3280621032053705</v>
      </c>
      <c r="D750" t="str">
        <f t="shared" si="23"/>
        <v>Normal</v>
      </c>
    </row>
    <row r="751" spans="1:4" x14ac:dyDescent="0.25">
      <c r="A751">
        <v>6.34</v>
      </c>
      <c r="C751">
        <f t="shared" si="22"/>
        <v>0.59356552977503729</v>
      </c>
      <c r="D751" t="str">
        <f t="shared" si="23"/>
        <v>Normal</v>
      </c>
    </row>
    <row r="752" spans="1:4" x14ac:dyDescent="0.25">
      <c r="A752">
        <v>2.13</v>
      </c>
      <c r="C752">
        <f t="shared" si="22"/>
        <v>-0.13230232053725935</v>
      </c>
      <c r="D752" t="str">
        <f t="shared" si="23"/>
        <v>Normal</v>
      </c>
    </row>
    <row r="753" spans="1:4" x14ac:dyDescent="0.25">
      <c r="A753">
        <v>10.050000000000001</v>
      </c>
      <c r="C753">
        <f t="shared" si="22"/>
        <v>1.2332257969148523</v>
      </c>
      <c r="D753" t="str">
        <f t="shared" si="23"/>
        <v>Normal</v>
      </c>
    </row>
    <row r="754" spans="1:4" x14ac:dyDescent="0.25">
      <c r="A754">
        <v>10.54</v>
      </c>
      <c r="C754">
        <f t="shared" si="22"/>
        <v>1.317709228423884</v>
      </c>
      <c r="D754" t="str">
        <f t="shared" si="23"/>
        <v>Normal</v>
      </c>
    </row>
    <row r="755" spans="1:4" x14ac:dyDescent="0.25">
      <c r="A755">
        <v>2.52</v>
      </c>
      <c r="C755">
        <f t="shared" si="22"/>
        <v>-6.5060405662723544E-2</v>
      </c>
      <c r="D755" t="str">
        <f t="shared" si="23"/>
        <v>Normal</v>
      </c>
    </row>
    <row r="756" spans="1:4" x14ac:dyDescent="0.25">
      <c r="A756">
        <v>14.05</v>
      </c>
      <c r="C756">
        <f t="shared" si="22"/>
        <v>1.9228864622947066</v>
      </c>
      <c r="D756" t="str">
        <f t="shared" si="23"/>
        <v>Normal</v>
      </c>
    </row>
    <row r="757" spans="1:4" x14ac:dyDescent="0.25">
      <c r="A757">
        <v>3.37</v>
      </c>
      <c r="C757">
        <f t="shared" si="22"/>
        <v>8.1492485730495515E-2</v>
      </c>
      <c r="D757" t="str">
        <f t="shared" si="23"/>
        <v>Normal</v>
      </c>
    </row>
    <row r="758" spans="1:4" x14ac:dyDescent="0.25">
      <c r="A758">
        <v>12.38</v>
      </c>
      <c r="C758">
        <f t="shared" si="22"/>
        <v>1.6349531344986175</v>
      </c>
      <c r="D758" t="str">
        <f t="shared" si="23"/>
        <v>Normal</v>
      </c>
    </row>
    <row r="759" spans="1:4" x14ac:dyDescent="0.25">
      <c r="A759">
        <v>10.71</v>
      </c>
      <c r="C759">
        <f t="shared" si="22"/>
        <v>1.3470198067025283</v>
      </c>
      <c r="D759" t="str">
        <f t="shared" si="23"/>
        <v>Normal</v>
      </c>
    </row>
    <row r="760" spans="1:4" x14ac:dyDescent="0.25">
      <c r="A760">
        <v>0.67</v>
      </c>
      <c r="C760">
        <f t="shared" si="22"/>
        <v>-0.38402846340090618</v>
      </c>
      <c r="D760" t="str">
        <f t="shared" si="23"/>
        <v>Normal</v>
      </c>
    </row>
    <row r="761" spans="1:4" x14ac:dyDescent="0.25">
      <c r="A761">
        <v>16.989999999999998</v>
      </c>
      <c r="C761">
        <f t="shared" si="22"/>
        <v>2.4297870513488991</v>
      </c>
      <c r="D761" t="str">
        <f t="shared" si="23"/>
        <v>Normal</v>
      </c>
    </row>
    <row r="762" spans="1:4" x14ac:dyDescent="0.25">
      <c r="A762">
        <v>13.45</v>
      </c>
      <c r="C762">
        <f t="shared" si="22"/>
        <v>1.8194373624877282</v>
      </c>
      <c r="D762" t="str">
        <f t="shared" si="23"/>
        <v>Normal</v>
      </c>
    </row>
    <row r="763" spans="1:4" x14ac:dyDescent="0.25">
      <c r="A763">
        <v>10.71</v>
      </c>
      <c r="C763">
        <f t="shared" si="22"/>
        <v>1.3470198067025283</v>
      </c>
      <c r="D763" t="str">
        <f t="shared" si="23"/>
        <v>Normal</v>
      </c>
    </row>
    <row r="764" spans="1:4" x14ac:dyDescent="0.25">
      <c r="A764">
        <v>12.35</v>
      </c>
      <c r="C764">
        <f t="shared" si="22"/>
        <v>1.6297806795082683</v>
      </c>
      <c r="D764" t="str">
        <f t="shared" si="23"/>
        <v>Normal</v>
      </c>
    </row>
    <row r="765" spans="1:4" x14ac:dyDescent="0.25">
      <c r="A765">
        <v>17.73</v>
      </c>
      <c r="C765">
        <f t="shared" si="22"/>
        <v>2.5573742744441725</v>
      </c>
      <c r="D765" t="str">
        <f t="shared" si="23"/>
        <v>Outlier</v>
      </c>
    </row>
    <row r="766" spans="1:4" x14ac:dyDescent="0.25">
      <c r="A766">
        <v>11.55</v>
      </c>
      <c r="C766">
        <f t="shared" si="22"/>
        <v>1.4918485464322977</v>
      </c>
      <c r="D766" t="str">
        <f t="shared" si="23"/>
        <v>Normal</v>
      </c>
    </row>
    <row r="767" spans="1:4" x14ac:dyDescent="0.25">
      <c r="A767">
        <v>17.48</v>
      </c>
      <c r="C767">
        <f t="shared" si="22"/>
        <v>2.5142704828579316</v>
      </c>
      <c r="D767" t="str">
        <f t="shared" si="23"/>
        <v>Outlier</v>
      </c>
    </row>
    <row r="768" spans="1:4" x14ac:dyDescent="0.25">
      <c r="A768">
        <v>14.38</v>
      </c>
      <c r="C768">
        <f t="shared" si="22"/>
        <v>1.9797834671885446</v>
      </c>
      <c r="D768" t="str">
        <f t="shared" si="23"/>
        <v>Normal</v>
      </c>
    </row>
    <row r="769" spans="1:4" x14ac:dyDescent="0.25">
      <c r="A769">
        <v>8.75</v>
      </c>
      <c r="C769">
        <f t="shared" si="22"/>
        <v>1.0090860806663995</v>
      </c>
      <c r="D769" t="str">
        <f t="shared" si="23"/>
        <v>Normal</v>
      </c>
    </row>
    <row r="770" spans="1:4" x14ac:dyDescent="0.25">
      <c r="A770">
        <v>4.6900000000000004</v>
      </c>
      <c r="C770">
        <f t="shared" si="22"/>
        <v>0.30908050530584746</v>
      </c>
      <c r="D770" t="str">
        <f t="shared" si="23"/>
        <v>Normal</v>
      </c>
    </row>
    <row r="771" spans="1:4" x14ac:dyDescent="0.25">
      <c r="A771">
        <v>10.29</v>
      </c>
      <c r="C771">
        <f t="shared" ref="C771:C834" si="24">(A771 - $B$5) / $B$7</f>
        <v>1.2746054368376432</v>
      </c>
      <c r="D771" t="str">
        <f t="shared" ref="D771:D834" si="25">IF(ABS(C771) &gt; 2.5, "Outlier", "Normal")</f>
        <v>Normal</v>
      </c>
    </row>
    <row r="772" spans="1:4" x14ac:dyDescent="0.25">
      <c r="A772">
        <v>14.91</v>
      </c>
      <c r="C772">
        <f t="shared" si="24"/>
        <v>2.0711635053513753</v>
      </c>
      <c r="D772" t="str">
        <f t="shared" si="25"/>
        <v>Normal</v>
      </c>
    </row>
    <row r="773" spans="1:4" x14ac:dyDescent="0.25">
      <c r="A773">
        <v>16.78</v>
      </c>
      <c r="C773">
        <f t="shared" si="24"/>
        <v>2.3935798664164571</v>
      </c>
      <c r="D773" t="str">
        <f t="shared" si="25"/>
        <v>Normal</v>
      </c>
    </row>
    <row r="774" spans="1:4" x14ac:dyDescent="0.25">
      <c r="A774">
        <v>12.59</v>
      </c>
      <c r="C774">
        <f t="shared" si="24"/>
        <v>1.6711603194310596</v>
      </c>
      <c r="D774" t="str">
        <f t="shared" si="25"/>
        <v>Normal</v>
      </c>
    </row>
    <row r="775" spans="1:4" x14ac:dyDescent="0.25">
      <c r="A775">
        <v>3.73</v>
      </c>
      <c r="C775">
        <f t="shared" si="24"/>
        <v>0.14356194561468238</v>
      </c>
      <c r="D775" t="str">
        <f t="shared" si="25"/>
        <v>Normal</v>
      </c>
    </row>
    <row r="776" spans="1:4" x14ac:dyDescent="0.25">
      <c r="A776">
        <v>10.54</v>
      </c>
      <c r="C776">
        <f t="shared" si="24"/>
        <v>1.317709228423884</v>
      </c>
      <c r="D776" t="str">
        <f t="shared" si="25"/>
        <v>Normal</v>
      </c>
    </row>
    <row r="777" spans="1:4" x14ac:dyDescent="0.25">
      <c r="A777">
        <v>8.07</v>
      </c>
      <c r="C777">
        <f t="shared" si="24"/>
        <v>0.89184376755182426</v>
      </c>
      <c r="D777" t="str">
        <f t="shared" si="25"/>
        <v>Normal</v>
      </c>
    </row>
    <row r="778" spans="1:4" x14ac:dyDescent="0.25">
      <c r="A778">
        <v>6.01</v>
      </c>
      <c r="C778">
        <f t="shared" si="24"/>
        <v>0.53666852488119932</v>
      </c>
      <c r="D778" t="str">
        <f t="shared" si="25"/>
        <v>Normal</v>
      </c>
    </row>
    <row r="779" spans="1:4" x14ac:dyDescent="0.25">
      <c r="A779">
        <v>9.81</v>
      </c>
      <c r="C779">
        <f t="shared" si="24"/>
        <v>1.1918461569920609</v>
      </c>
      <c r="D779" t="str">
        <f t="shared" si="25"/>
        <v>Normal</v>
      </c>
    </row>
    <row r="780" spans="1:4" x14ac:dyDescent="0.25">
      <c r="A780">
        <v>-2.46</v>
      </c>
      <c r="C780">
        <f t="shared" si="24"/>
        <v>-0.92368793406064209</v>
      </c>
      <c r="D780" t="str">
        <f t="shared" si="25"/>
        <v>Normal</v>
      </c>
    </row>
    <row r="781" spans="1:4" x14ac:dyDescent="0.25">
      <c r="A781">
        <v>5.84</v>
      </c>
      <c r="C781">
        <f t="shared" si="24"/>
        <v>0.50735794660255551</v>
      </c>
      <c r="D781" t="str">
        <f t="shared" si="25"/>
        <v>Normal</v>
      </c>
    </row>
    <row r="782" spans="1:4" x14ac:dyDescent="0.25">
      <c r="A782">
        <v>2.5</v>
      </c>
      <c r="C782">
        <f t="shared" si="24"/>
        <v>-6.8508708989622816E-2</v>
      </c>
      <c r="D782" t="str">
        <f t="shared" si="25"/>
        <v>Normal</v>
      </c>
    </row>
    <row r="783" spans="1:4" x14ac:dyDescent="0.25">
      <c r="A783">
        <v>-3.34</v>
      </c>
      <c r="C783">
        <f t="shared" si="24"/>
        <v>-1.0754132804442103</v>
      </c>
      <c r="D783" t="str">
        <f t="shared" si="25"/>
        <v>Normal</v>
      </c>
    </row>
    <row r="784" spans="1:4" x14ac:dyDescent="0.25">
      <c r="A784">
        <v>8.6199999999999992</v>
      </c>
      <c r="C784">
        <f t="shared" si="24"/>
        <v>0.98667210904155411</v>
      </c>
      <c r="D784" t="str">
        <f t="shared" si="25"/>
        <v>Normal</v>
      </c>
    </row>
    <row r="785" spans="1:4" x14ac:dyDescent="0.25">
      <c r="A785">
        <v>-4.47</v>
      </c>
      <c r="C785">
        <f t="shared" si="24"/>
        <v>-1.2702424184140189</v>
      </c>
      <c r="D785" t="str">
        <f t="shared" si="25"/>
        <v>Normal</v>
      </c>
    </row>
    <row r="786" spans="1:4" x14ac:dyDescent="0.25">
      <c r="A786">
        <v>0.09</v>
      </c>
      <c r="C786">
        <f t="shared" si="24"/>
        <v>-0.48402925988098505</v>
      </c>
      <c r="D786" t="str">
        <f t="shared" si="25"/>
        <v>Normal</v>
      </c>
    </row>
    <row r="787" spans="1:4" x14ac:dyDescent="0.25">
      <c r="A787">
        <v>5.18</v>
      </c>
      <c r="C787">
        <f t="shared" si="24"/>
        <v>0.3935639368148795</v>
      </c>
      <c r="D787" t="str">
        <f t="shared" si="25"/>
        <v>Normal</v>
      </c>
    </row>
    <row r="788" spans="1:4" x14ac:dyDescent="0.25">
      <c r="A788">
        <v>15.83</v>
      </c>
      <c r="C788">
        <f t="shared" si="24"/>
        <v>2.2297854583887418</v>
      </c>
      <c r="D788" t="str">
        <f t="shared" si="25"/>
        <v>Normal</v>
      </c>
    </row>
    <row r="789" spans="1:4" x14ac:dyDescent="0.25">
      <c r="A789">
        <v>-4.37</v>
      </c>
      <c r="C789">
        <f t="shared" si="24"/>
        <v>-1.2530009017795225</v>
      </c>
      <c r="D789" t="str">
        <f t="shared" si="25"/>
        <v>Normal</v>
      </c>
    </row>
    <row r="790" spans="1:4" x14ac:dyDescent="0.25">
      <c r="A790">
        <v>9.02</v>
      </c>
      <c r="C790">
        <f t="shared" si="24"/>
        <v>1.0556381755795397</v>
      </c>
      <c r="D790" t="str">
        <f t="shared" si="25"/>
        <v>Normal</v>
      </c>
    </row>
    <row r="791" spans="1:4" x14ac:dyDescent="0.25">
      <c r="A791">
        <v>1.38</v>
      </c>
      <c r="C791">
        <f t="shared" si="24"/>
        <v>-0.26161369529598205</v>
      </c>
      <c r="D791" t="str">
        <f t="shared" si="25"/>
        <v>Normal</v>
      </c>
    </row>
    <row r="792" spans="1:4" x14ac:dyDescent="0.25">
      <c r="A792">
        <v>5.68</v>
      </c>
      <c r="C792">
        <f t="shared" si="24"/>
        <v>0.47977151998736134</v>
      </c>
      <c r="D792" t="str">
        <f t="shared" si="25"/>
        <v>Normal</v>
      </c>
    </row>
    <row r="793" spans="1:4" x14ac:dyDescent="0.25">
      <c r="A793">
        <v>-4.2300000000000004</v>
      </c>
      <c r="C793">
        <f t="shared" si="24"/>
        <v>-1.2288627784912278</v>
      </c>
      <c r="D793" t="str">
        <f t="shared" si="25"/>
        <v>Normal</v>
      </c>
    </row>
    <row r="794" spans="1:4" x14ac:dyDescent="0.25">
      <c r="A794">
        <v>8.44</v>
      </c>
      <c r="C794">
        <f t="shared" si="24"/>
        <v>0.95563737909946067</v>
      </c>
      <c r="D794" t="str">
        <f t="shared" si="25"/>
        <v>Normal</v>
      </c>
    </row>
    <row r="795" spans="1:4" x14ac:dyDescent="0.25">
      <c r="A795">
        <v>14.96</v>
      </c>
      <c r="C795">
        <f t="shared" si="24"/>
        <v>2.0797842636686235</v>
      </c>
      <c r="D795" t="str">
        <f t="shared" si="25"/>
        <v>Normal</v>
      </c>
    </row>
    <row r="796" spans="1:4" x14ac:dyDescent="0.25">
      <c r="A796">
        <v>11.83</v>
      </c>
      <c r="C796">
        <f t="shared" si="24"/>
        <v>1.5401247930088873</v>
      </c>
      <c r="D796" t="str">
        <f t="shared" si="25"/>
        <v>Normal</v>
      </c>
    </row>
    <row r="797" spans="1:4" x14ac:dyDescent="0.25">
      <c r="A797">
        <v>-0.97</v>
      </c>
      <c r="C797">
        <f t="shared" si="24"/>
        <v>-0.66678933620664649</v>
      </c>
      <c r="D797" t="str">
        <f t="shared" si="25"/>
        <v>Normal</v>
      </c>
    </row>
    <row r="798" spans="1:4" x14ac:dyDescent="0.25">
      <c r="A798">
        <v>2.42</v>
      </c>
      <c r="C798">
        <f t="shared" si="24"/>
        <v>-8.2301922297219915E-2</v>
      </c>
      <c r="D798" t="str">
        <f t="shared" si="25"/>
        <v>Normal</v>
      </c>
    </row>
    <row r="799" spans="1:4" x14ac:dyDescent="0.25">
      <c r="A799">
        <v>-4.63</v>
      </c>
      <c r="C799">
        <f t="shared" si="24"/>
        <v>-1.297828845029213</v>
      </c>
      <c r="D799" t="str">
        <f t="shared" si="25"/>
        <v>Normal</v>
      </c>
    </row>
    <row r="800" spans="1:4" x14ac:dyDescent="0.25">
      <c r="A800">
        <v>13.06</v>
      </c>
      <c r="C800">
        <f t="shared" si="24"/>
        <v>1.7521954476131927</v>
      </c>
      <c r="D800" t="str">
        <f t="shared" si="25"/>
        <v>Normal</v>
      </c>
    </row>
    <row r="801" spans="1:4" x14ac:dyDescent="0.25">
      <c r="A801">
        <v>15.81</v>
      </c>
      <c r="C801">
        <f t="shared" si="24"/>
        <v>2.2263371550618425</v>
      </c>
      <c r="D801" t="str">
        <f t="shared" si="25"/>
        <v>Normal</v>
      </c>
    </row>
    <row r="802" spans="1:4" x14ac:dyDescent="0.25">
      <c r="A802">
        <v>13.1</v>
      </c>
      <c r="C802">
        <f t="shared" si="24"/>
        <v>1.759092054266991</v>
      </c>
      <c r="D802" t="str">
        <f t="shared" si="25"/>
        <v>Normal</v>
      </c>
    </row>
    <row r="803" spans="1:4" x14ac:dyDescent="0.25">
      <c r="A803">
        <v>12.2</v>
      </c>
      <c r="C803">
        <f t="shared" si="24"/>
        <v>1.6039184045565238</v>
      </c>
      <c r="D803" t="str">
        <f t="shared" si="25"/>
        <v>Normal</v>
      </c>
    </row>
    <row r="804" spans="1:4" x14ac:dyDescent="0.25">
      <c r="A804">
        <v>8.84</v>
      </c>
      <c r="C804">
        <f t="shared" si="24"/>
        <v>1.0246034456374462</v>
      </c>
      <c r="D804" t="str">
        <f t="shared" si="25"/>
        <v>Normal</v>
      </c>
    </row>
    <row r="805" spans="1:4" x14ac:dyDescent="0.25">
      <c r="A805">
        <v>-3.38</v>
      </c>
      <c r="C805">
        <f t="shared" si="24"/>
        <v>-1.0823098870980086</v>
      </c>
      <c r="D805" t="str">
        <f t="shared" si="25"/>
        <v>Normal</v>
      </c>
    </row>
    <row r="806" spans="1:4" x14ac:dyDescent="0.25">
      <c r="A806">
        <v>4.37</v>
      </c>
      <c r="C806">
        <f t="shared" si="24"/>
        <v>0.25390765207545907</v>
      </c>
      <c r="D806" t="str">
        <f t="shared" si="25"/>
        <v>Normal</v>
      </c>
    </row>
    <row r="807" spans="1:4" x14ac:dyDescent="0.25">
      <c r="A807">
        <v>10.85</v>
      </c>
      <c r="C807">
        <f t="shared" si="24"/>
        <v>1.371157929990823</v>
      </c>
      <c r="D807" t="str">
        <f t="shared" si="25"/>
        <v>Normal</v>
      </c>
    </row>
    <row r="808" spans="1:4" x14ac:dyDescent="0.25">
      <c r="A808">
        <v>3.09</v>
      </c>
      <c r="C808">
        <f t="shared" si="24"/>
        <v>3.3216239153905668E-2</v>
      </c>
      <c r="D808" t="str">
        <f t="shared" si="25"/>
        <v>Normal</v>
      </c>
    </row>
    <row r="809" spans="1:4" x14ac:dyDescent="0.25">
      <c r="A809">
        <v>3.77</v>
      </c>
      <c r="C809">
        <f t="shared" si="24"/>
        <v>0.15045855226848093</v>
      </c>
      <c r="D809" t="str">
        <f t="shared" si="25"/>
        <v>Normal</v>
      </c>
    </row>
    <row r="810" spans="1:4" x14ac:dyDescent="0.25">
      <c r="A810">
        <v>7.64</v>
      </c>
      <c r="C810">
        <f t="shared" si="24"/>
        <v>0.81770524602349004</v>
      </c>
      <c r="D810" t="str">
        <f t="shared" si="25"/>
        <v>Normal</v>
      </c>
    </row>
    <row r="811" spans="1:4" x14ac:dyDescent="0.25">
      <c r="A811">
        <v>8.89</v>
      </c>
      <c r="C811">
        <f t="shared" si="24"/>
        <v>1.0332242039546944</v>
      </c>
      <c r="D811" t="str">
        <f t="shared" si="25"/>
        <v>Normal</v>
      </c>
    </row>
    <row r="812" spans="1:4" x14ac:dyDescent="0.25">
      <c r="A812">
        <v>7.07</v>
      </c>
      <c r="C812">
        <f t="shared" si="24"/>
        <v>0.7194286012068607</v>
      </c>
      <c r="D812" t="str">
        <f t="shared" si="25"/>
        <v>Normal</v>
      </c>
    </row>
    <row r="813" spans="1:4" x14ac:dyDescent="0.25">
      <c r="A813">
        <v>15.16</v>
      </c>
      <c r="C813">
        <f t="shared" si="24"/>
        <v>2.1142672969376162</v>
      </c>
      <c r="D813" t="str">
        <f t="shared" si="25"/>
        <v>Normal</v>
      </c>
    </row>
    <row r="814" spans="1:4" x14ac:dyDescent="0.25">
      <c r="A814">
        <v>7.09</v>
      </c>
      <c r="C814">
        <f t="shared" si="24"/>
        <v>0.72287690453375986</v>
      </c>
      <c r="D814" t="str">
        <f t="shared" si="25"/>
        <v>Normal</v>
      </c>
    </row>
    <row r="815" spans="1:4" x14ac:dyDescent="0.25">
      <c r="A815">
        <v>15.26</v>
      </c>
      <c r="C815">
        <f t="shared" si="24"/>
        <v>2.1315088135721125</v>
      </c>
      <c r="D815" t="str">
        <f t="shared" si="25"/>
        <v>Normal</v>
      </c>
    </row>
    <row r="816" spans="1:4" x14ac:dyDescent="0.25">
      <c r="A816">
        <v>15.19</v>
      </c>
      <c r="C816">
        <f t="shared" si="24"/>
        <v>2.1194397519279646</v>
      </c>
      <c r="D816" t="str">
        <f t="shared" si="25"/>
        <v>Normal</v>
      </c>
    </row>
    <row r="817" spans="1:4" x14ac:dyDescent="0.25">
      <c r="A817">
        <v>-2.97</v>
      </c>
      <c r="C817">
        <f t="shared" si="24"/>
        <v>-1.0116196688965737</v>
      </c>
      <c r="D817" t="str">
        <f t="shared" si="25"/>
        <v>Normal</v>
      </c>
    </row>
    <row r="818" spans="1:4" x14ac:dyDescent="0.25">
      <c r="A818">
        <v>-3.64</v>
      </c>
      <c r="C818">
        <f t="shared" si="24"/>
        <v>-1.1271378303476993</v>
      </c>
      <c r="D818" t="str">
        <f t="shared" si="25"/>
        <v>Normal</v>
      </c>
    </row>
    <row r="819" spans="1:4" x14ac:dyDescent="0.25">
      <c r="A819">
        <v>-0.82</v>
      </c>
      <c r="C819">
        <f t="shared" si="24"/>
        <v>-0.64092706125490184</v>
      </c>
      <c r="D819" t="str">
        <f t="shared" si="25"/>
        <v>Normal</v>
      </c>
    </row>
    <row r="820" spans="1:4" x14ac:dyDescent="0.25">
      <c r="A820">
        <v>6.81</v>
      </c>
      <c r="C820">
        <f t="shared" si="24"/>
        <v>0.67460065795717017</v>
      </c>
      <c r="D820" t="str">
        <f t="shared" si="25"/>
        <v>Normal</v>
      </c>
    </row>
    <row r="821" spans="1:4" x14ac:dyDescent="0.25">
      <c r="A821">
        <v>12.16</v>
      </c>
      <c r="C821">
        <f t="shared" si="24"/>
        <v>1.5970217979027252</v>
      </c>
      <c r="D821" t="str">
        <f t="shared" si="25"/>
        <v>Normal</v>
      </c>
    </row>
    <row r="822" spans="1:4" x14ac:dyDescent="0.25">
      <c r="A822">
        <v>13.9</v>
      </c>
      <c r="C822">
        <f t="shared" si="24"/>
        <v>1.8970241873429621</v>
      </c>
      <c r="D822" t="str">
        <f t="shared" si="25"/>
        <v>Normal</v>
      </c>
    </row>
    <row r="823" spans="1:4" x14ac:dyDescent="0.25">
      <c r="A823">
        <v>-2.09</v>
      </c>
      <c r="C823">
        <f t="shared" si="24"/>
        <v>-0.85989432251300568</v>
      </c>
      <c r="D823" t="str">
        <f t="shared" si="25"/>
        <v>Normal</v>
      </c>
    </row>
    <row r="824" spans="1:4" x14ac:dyDescent="0.25">
      <c r="A824">
        <v>15.82</v>
      </c>
      <c r="C824">
        <f t="shared" si="24"/>
        <v>2.2280613067252921</v>
      </c>
      <c r="D824" t="str">
        <f t="shared" si="25"/>
        <v>Normal</v>
      </c>
    </row>
    <row r="825" spans="1:4" x14ac:dyDescent="0.25">
      <c r="A825">
        <v>-2.06</v>
      </c>
      <c r="C825">
        <f t="shared" si="24"/>
        <v>-0.85472186752265678</v>
      </c>
      <c r="D825" t="str">
        <f t="shared" si="25"/>
        <v>Normal</v>
      </c>
    </row>
    <row r="826" spans="1:4" x14ac:dyDescent="0.25">
      <c r="A826">
        <v>10.06</v>
      </c>
      <c r="C826">
        <f t="shared" si="24"/>
        <v>1.2349499485783018</v>
      </c>
      <c r="D826" t="str">
        <f t="shared" si="25"/>
        <v>Normal</v>
      </c>
    </row>
    <row r="827" spans="1:4" x14ac:dyDescent="0.25">
      <c r="A827">
        <v>-4.83</v>
      </c>
      <c r="C827">
        <f t="shared" si="24"/>
        <v>-1.332311878298206</v>
      </c>
      <c r="D827" t="str">
        <f t="shared" si="25"/>
        <v>Normal</v>
      </c>
    </row>
    <row r="828" spans="1:4" x14ac:dyDescent="0.25">
      <c r="A828">
        <v>7.45</v>
      </c>
      <c r="C828">
        <f t="shared" si="24"/>
        <v>0.78494636441794696</v>
      </c>
      <c r="D828" t="str">
        <f t="shared" si="25"/>
        <v>Normal</v>
      </c>
    </row>
    <row r="829" spans="1:4" x14ac:dyDescent="0.25">
      <c r="A829">
        <v>12.75</v>
      </c>
      <c r="C829">
        <f t="shared" si="24"/>
        <v>1.6987467460462538</v>
      </c>
      <c r="D829" t="str">
        <f t="shared" si="25"/>
        <v>Normal</v>
      </c>
    </row>
    <row r="830" spans="1:4" x14ac:dyDescent="0.25">
      <c r="A830">
        <v>12.01</v>
      </c>
      <c r="C830">
        <f t="shared" si="24"/>
        <v>1.5711595229509807</v>
      </c>
      <c r="D830" t="str">
        <f t="shared" si="25"/>
        <v>Normal</v>
      </c>
    </row>
    <row r="831" spans="1:4" x14ac:dyDescent="0.25">
      <c r="A831">
        <v>12.14</v>
      </c>
      <c r="C831">
        <f t="shared" si="24"/>
        <v>1.5935734945758262</v>
      </c>
      <c r="D831" t="str">
        <f t="shared" si="25"/>
        <v>Normal</v>
      </c>
    </row>
    <row r="832" spans="1:4" x14ac:dyDescent="0.25">
      <c r="A832">
        <v>13.01</v>
      </c>
      <c r="C832">
        <f t="shared" si="24"/>
        <v>1.7435746892959443</v>
      </c>
      <c r="D832" t="str">
        <f t="shared" si="25"/>
        <v>Normal</v>
      </c>
    </row>
    <row r="833" spans="1:4" x14ac:dyDescent="0.25">
      <c r="A833">
        <v>0.77</v>
      </c>
      <c r="C833">
        <f t="shared" si="24"/>
        <v>-0.36678694676640983</v>
      </c>
      <c r="D833" t="str">
        <f t="shared" si="25"/>
        <v>Normal</v>
      </c>
    </row>
    <row r="834" spans="1:4" x14ac:dyDescent="0.25">
      <c r="A834">
        <v>-2.0099999999999998</v>
      </c>
      <c r="C834">
        <f t="shared" si="24"/>
        <v>-0.8461011092054086</v>
      </c>
      <c r="D834" t="str">
        <f t="shared" si="25"/>
        <v>Normal</v>
      </c>
    </row>
    <row r="835" spans="1:4" x14ac:dyDescent="0.25">
      <c r="A835">
        <v>10.49</v>
      </c>
      <c r="C835">
        <f t="shared" ref="C835:C898" si="26">(A835 - $B$5) / $B$7</f>
        <v>1.3090884701066361</v>
      </c>
      <c r="D835" t="str">
        <f t="shared" ref="D835:D898" si="27">IF(ABS(C835) &gt; 2.5, "Outlier", "Normal")</f>
        <v>Normal</v>
      </c>
    </row>
    <row r="836" spans="1:4" x14ac:dyDescent="0.25">
      <c r="A836">
        <v>8.9600000000000009</v>
      </c>
      <c r="C836">
        <f t="shared" si="26"/>
        <v>1.0452932655988421</v>
      </c>
      <c r="D836" t="str">
        <f t="shared" si="27"/>
        <v>Normal</v>
      </c>
    </row>
    <row r="837" spans="1:4" x14ac:dyDescent="0.25">
      <c r="A837">
        <v>8.82</v>
      </c>
      <c r="C837">
        <f t="shared" si="26"/>
        <v>1.0211551423105469</v>
      </c>
      <c r="D837" t="str">
        <f t="shared" si="27"/>
        <v>Normal</v>
      </c>
    </row>
    <row r="838" spans="1:4" x14ac:dyDescent="0.25">
      <c r="A838">
        <v>17.37</v>
      </c>
      <c r="C838">
        <f t="shared" si="26"/>
        <v>2.4953048145599857</v>
      </c>
      <c r="D838" t="str">
        <f t="shared" si="27"/>
        <v>Normal</v>
      </c>
    </row>
    <row r="839" spans="1:4" x14ac:dyDescent="0.25">
      <c r="A839">
        <v>12.79</v>
      </c>
      <c r="C839">
        <f t="shared" si="26"/>
        <v>1.7056433527000523</v>
      </c>
      <c r="D839" t="str">
        <f t="shared" si="27"/>
        <v>Normal</v>
      </c>
    </row>
    <row r="840" spans="1:4" x14ac:dyDescent="0.25">
      <c r="A840">
        <v>8.5399999999999991</v>
      </c>
      <c r="C840">
        <f t="shared" si="26"/>
        <v>0.97287889573395703</v>
      </c>
      <c r="D840" t="str">
        <f t="shared" si="27"/>
        <v>Normal</v>
      </c>
    </row>
    <row r="841" spans="1:4" x14ac:dyDescent="0.25">
      <c r="A841">
        <v>14.66</v>
      </c>
      <c r="C841">
        <f t="shared" si="26"/>
        <v>2.0280597137651344</v>
      </c>
      <c r="D841" t="str">
        <f t="shared" si="27"/>
        <v>Normal</v>
      </c>
    </row>
    <row r="842" spans="1:4" x14ac:dyDescent="0.25">
      <c r="A842">
        <v>8.81</v>
      </c>
      <c r="C842">
        <f t="shared" si="26"/>
        <v>1.0194309906470973</v>
      </c>
      <c r="D842" t="str">
        <f t="shared" si="27"/>
        <v>Normal</v>
      </c>
    </row>
    <row r="843" spans="1:4" x14ac:dyDescent="0.25">
      <c r="A843">
        <v>0.19</v>
      </c>
      <c r="C843">
        <f t="shared" si="26"/>
        <v>-0.4667877432464887</v>
      </c>
      <c r="D843" t="str">
        <f t="shared" si="27"/>
        <v>Normal</v>
      </c>
    </row>
    <row r="844" spans="1:4" x14ac:dyDescent="0.25">
      <c r="A844">
        <v>5.31</v>
      </c>
      <c r="C844">
        <f t="shared" si="26"/>
        <v>0.41597790843972476</v>
      </c>
      <c r="D844" t="str">
        <f t="shared" si="27"/>
        <v>Normal</v>
      </c>
    </row>
    <row r="845" spans="1:4" x14ac:dyDescent="0.25">
      <c r="A845">
        <v>4.68</v>
      </c>
      <c r="C845">
        <f t="shared" si="26"/>
        <v>0.30735635364239772</v>
      </c>
      <c r="D845" t="str">
        <f t="shared" si="27"/>
        <v>Normal</v>
      </c>
    </row>
    <row r="846" spans="1:4" x14ac:dyDescent="0.25">
      <c r="A846">
        <v>16.39</v>
      </c>
      <c r="C846">
        <f t="shared" si="26"/>
        <v>2.3263379515419214</v>
      </c>
      <c r="D846" t="str">
        <f t="shared" si="27"/>
        <v>Normal</v>
      </c>
    </row>
    <row r="847" spans="1:4" x14ac:dyDescent="0.25">
      <c r="A847">
        <v>12.01</v>
      </c>
      <c r="C847">
        <f t="shared" si="26"/>
        <v>1.5711595229509807</v>
      </c>
      <c r="D847" t="str">
        <f t="shared" si="27"/>
        <v>Normal</v>
      </c>
    </row>
    <row r="848" spans="1:4" x14ac:dyDescent="0.25">
      <c r="A848">
        <v>-0.67</v>
      </c>
      <c r="C848">
        <f t="shared" si="26"/>
        <v>-0.61506478630315731</v>
      </c>
      <c r="D848" t="str">
        <f t="shared" si="27"/>
        <v>Normal</v>
      </c>
    </row>
    <row r="849" spans="1:4" x14ac:dyDescent="0.25">
      <c r="A849">
        <v>5.5</v>
      </c>
      <c r="C849">
        <f t="shared" si="26"/>
        <v>0.4487367900452679</v>
      </c>
      <c r="D849" t="str">
        <f t="shared" si="27"/>
        <v>Normal</v>
      </c>
    </row>
    <row r="850" spans="1:4" x14ac:dyDescent="0.25">
      <c r="A850">
        <v>14.72</v>
      </c>
      <c r="C850">
        <f t="shared" si="26"/>
        <v>2.0384046237458322</v>
      </c>
      <c r="D850" t="str">
        <f t="shared" si="27"/>
        <v>Normal</v>
      </c>
    </row>
    <row r="851" spans="1:4" x14ac:dyDescent="0.25">
      <c r="A851">
        <v>3.42</v>
      </c>
      <c r="C851">
        <f t="shared" si="26"/>
        <v>9.0113244047743665E-2</v>
      </c>
      <c r="D851" t="str">
        <f t="shared" si="27"/>
        <v>Normal</v>
      </c>
    </row>
    <row r="852" spans="1:4" x14ac:dyDescent="0.25">
      <c r="A852">
        <v>10.49</v>
      </c>
      <c r="C852">
        <f t="shared" si="26"/>
        <v>1.3090884701066361</v>
      </c>
      <c r="D852" t="str">
        <f t="shared" si="27"/>
        <v>Normal</v>
      </c>
    </row>
    <row r="853" spans="1:4" x14ac:dyDescent="0.25">
      <c r="A853">
        <v>12.23</v>
      </c>
      <c r="C853">
        <f t="shared" si="26"/>
        <v>1.6090908595468727</v>
      </c>
      <c r="D853" t="str">
        <f t="shared" si="27"/>
        <v>Normal</v>
      </c>
    </row>
    <row r="854" spans="1:4" x14ac:dyDescent="0.25">
      <c r="A854">
        <v>3.2</v>
      </c>
      <c r="C854">
        <f t="shared" si="26"/>
        <v>5.2181907451851715E-2</v>
      </c>
      <c r="D854" t="str">
        <f t="shared" si="27"/>
        <v>Normal</v>
      </c>
    </row>
    <row r="855" spans="1:4" x14ac:dyDescent="0.25">
      <c r="A855">
        <v>14.92</v>
      </c>
      <c r="C855">
        <f t="shared" si="26"/>
        <v>2.0728876570148249</v>
      </c>
      <c r="D855" t="str">
        <f t="shared" si="27"/>
        <v>Normal</v>
      </c>
    </row>
    <row r="856" spans="1:4" x14ac:dyDescent="0.25">
      <c r="A856">
        <v>12.25</v>
      </c>
      <c r="C856">
        <f t="shared" si="26"/>
        <v>1.612539162873772</v>
      </c>
      <c r="D856" t="str">
        <f t="shared" si="27"/>
        <v>Normal</v>
      </c>
    </row>
    <row r="857" spans="1:4" x14ac:dyDescent="0.25">
      <c r="A857">
        <v>10.31</v>
      </c>
      <c r="C857">
        <f t="shared" si="26"/>
        <v>1.2780537401645427</v>
      </c>
      <c r="D857" t="str">
        <f t="shared" si="27"/>
        <v>Normal</v>
      </c>
    </row>
    <row r="858" spans="1:4" x14ac:dyDescent="0.25">
      <c r="A858">
        <v>1.06</v>
      </c>
      <c r="C858">
        <f t="shared" si="26"/>
        <v>-0.31678654852637034</v>
      </c>
      <c r="D858" t="str">
        <f t="shared" si="27"/>
        <v>Normal</v>
      </c>
    </row>
    <row r="859" spans="1:4" x14ac:dyDescent="0.25">
      <c r="A859">
        <v>8.27</v>
      </c>
      <c r="C859">
        <f t="shared" si="26"/>
        <v>0.92632680082081686</v>
      </c>
      <c r="D859" t="str">
        <f t="shared" si="27"/>
        <v>Normal</v>
      </c>
    </row>
    <row r="860" spans="1:4" x14ac:dyDescent="0.25">
      <c r="A860">
        <v>-2.16</v>
      </c>
      <c r="C860">
        <f t="shared" si="26"/>
        <v>-0.87196338415715324</v>
      </c>
      <c r="D860" t="str">
        <f t="shared" si="27"/>
        <v>Normal</v>
      </c>
    </row>
    <row r="861" spans="1:4" x14ac:dyDescent="0.25">
      <c r="A861">
        <v>0.71</v>
      </c>
      <c r="C861">
        <f t="shared" si="26"/>
        <v>-0.37713185674710764</v>
      </c>
      <c r="D861" t="str">
        <f t="shared" si="27"/>
        <v>Normal</v>
      </c>
    </row>
    <row r="862" spans="1:4" x14ac:dyDescent="0.25">
      <c r="A862">
        <v>2.94</v>
      </c>
      <c r="C862">
        <f t="shared" si="26"/>
        <v>7.3539642021611482E-3</v>
      </c>
      <c r="D862" t="str">
        <f t="shared" si="27"/>
        <v>Normal</v>
      </c>
    </row>
    <row r="863" spans="1:4" x14ac:dyDescent="0.25">
      <c r="A863">
        <v>1.58</v>
      </c>
      <c r="C863">
        <f t="shared" si="26"/>
        <v>-0.22713066202698931</v>
      </c>
      <c r="D863" t="str">
        <f t="shared" si="27"/>
        <v>Normal</v>
      </c>
    </row>
    <row r="864" spans="1:4" x14ac:dyDescent="0.25">
      <c r="A864">
        <v>1.85</v>
      </c>
      <c r="C864">
        <f t="shared" si="26"/>
        <v>-0.18057856711384912</v>
      </c>
      <c r="D864" t="str">
        <f t="shared" si="27"/>
        <v>Normal</v>
      </c>
    </row>
    <row r="865" spans="1:4" x14ac:dyDescent="0.25">
      <c r="A865">
        <v>0.67</v>
      </c>
      <c r="C865">
        <f t="shared" si="26"/>
        <v>-0.38402846340090618</v>
      </c>
      <c r="D865" t="str">
        <f t="shared" si="27"/>
        <v>Normal</v>
      </c>
    </row>
    <row r="866" spans="1:4" x14ac:dyDescent="0.25">
      <c r="A866">
        <v>13.63</v>
      </c>
      <c r="C866">
        <f t="shared" si="26"/>
        <v>1.8504720924298219</v>
      </c>
      <c r="D866" t="str">
        <f t="shared" si="27"/>
        <v>Normal</v>
      </c>
    </row>
    <row r="867" spans="1:4" x14ac:dyDescent="0.25">
      <c r="A867">
        <v>17.88</v>
      </c>
      <c r="C867">
        <f t="shared" si="26"/>
        <v>2.5832365493959166</v>
      </c>
      <c r="D867" t="str">
        <f t="shared" si="27"/>
        <v>Outlier</v>
      </c>
    </row>
    <row r="868" spans="1:4" x14ac:dyDescent="0.25">
      <c r="A868">
        <v>14.36</v>
      </c>
      <c r="C868">
        <f t="shared" si="26"/>
        <v>1.9763351638616451</v>
      </c>
      <c r="D868" t="str">
        <f t="shared" si="27"/>
        <v>Normal</v>
      </c>
    </row>
    <row r="869" spans="1:4" x14ac:dyDescent="0.25">
      <c r="A869">
        <v>7.8</v>
      </c>
      <c r="C869">
        <f t="shared" si="26"/>
        <v>0.84529167263868421</v>
      </c>
      <c r="D869" t="str">
        <f t="shared" si="27"/>
        <v>Normal</v>
      </c>
    </row>
    <row r="870" spans="1:4" x14ac:dyDescent="0.25">
      <c r="A870">
        <v>13.52</v>
      </c>
      <c r="C870">
        <f t="shared" si="26"/>
        <v>1.8315064241318757</v>
      </c>
      <c r="D870" t="str">
        <f t="shared" si="27"/>
        <v>Normal</v>
      </c>
    </row>
    <row r="871" spans="1:4" x14ac:dyDescent="0.25">
      <c r="A871">
        <v>14.94</v>
      </c>
      <c r="C871">
        <f t="shared" si="26"/>
        <v>2.0763359603417237</v>
      </c>
      <c r="D871" t="str">
        <f t="shared" si="27"/>
        <v>Normal</v>
      </c>
    </row>
    <row r="872" spans="1:4" x14ac:dyDescent="0.25">
      <c r="A872">
        <v>15.85</v>
      </c>
      <c r="C872">
        <f t="shared" si="26"/>
        <v>2.233233761715641</v>
      </c>
      <c r="D872" t="str">
        <f t="shared" si="27"/>
        <v>Normal</v>
      </c>
    </row>
    <row r="873" spans="1:4" x14ac:dyDescent="0.25">
      <c r="A873">
        <v>-1.01</v>
      </c>
      <c r="C873">
        <f t="shared" si="26"/>
        <v>-0.67368594286044503</v>
      </c>
      <c r="D873" t="str">
        <f t="shared" si="27"/>
        <v>Normal</v>
      </c>
    </row>
    <row r="874" spans="1:4" x14ac:dyDescent="0.25">
      <c r="A874">
        <v>6.39</v>
      </c>
      <c r="C874">
        <f t="shared" si="26"/>
        <v>0.60218628809228547</v>
      </c>
      <c r="D874" t="str">
        <f t="shared" si="27"/>
        <v>Normal</v>
      </c>
    </row>
    <row r="875" spans="1:4" x14ac:dyDescent="0.25">
      <c r="A875">
        <v>15.42</v>
      </c>
      <c r="C875">
        <f t="shared" si="26"/>
        <v>2.1590952401873067</v>
      </c>
      <c r="D875" t="str">
        <f t="shared" si="27"/>
        <v>Normal</v>
      </c>
    </row>
    <row r="876" spans="1:4" x14ac:dyDescent="0.25">
      <c r="A876">
        <v>8.57</v>
      </c>
      <c r="C876">
        <f t="shared" si="26"/>
        <v>0.97805135072430605</v>
      </c>
      <c r="D876" t="str">
        <f t="shared" si="27"/>
        <v>Normal</v>
      </c>
    </row>
    <row r="877" spans="1:4" x14ac:dyDescent="0.25">
      <c r="A877">
        <v>5.8</v>
      </c>
      <c r="C877">
        <f t="shared" si="26"/>
        <v>0.50046133994875697</v>
      </c>
      <c r="D877" t="str">
        <f t="shared" si="27"/>
        <v>Normal</v>
      </c>
    </row>
    <row r="878" spans="1:4" x14ac:dyDescent="0.25">
      <c r="A878">
        <v>12.52</v>
      </c>
      <c r="C878">
        <f t="shared" si="26"/>
        <v>1.6590912577869121</v>
      </c>
      <c r="D878" t="str">
        <f t="shared" si="27"/>
        <v>Normal</v>
      </c>
    </row>
    <row r="879" spans="1:4" x14ac:dyDescent="0.25">
      <c r="A879">
        <v>11.87</v>
      </c>
      <c r="C879">
        <f t="shared" si="26"/>
        <v>1.5470213996626858</v>
      </c>
      <c r="D879" t="str">
        <f t="shared" si="27"/>
        <v>Normal</v>
      </c>
    </row>
    <row r="880" spans="1:4" x14ac:dyDescent="0.25">
      <c r="A880">
        <v>16.97</v>
      </c>
      <c r="C880">
        <f t="shared" si="26"/>
        <v>2.4263387480219998</v>
      </c>
      <c r="D880" t="str">
        <f t="shared" si="27"/>
        <v>Normal</v>
      </c>
    </row>
    <row r="881" spans="1:4" x14ac:dyDescent="0.25">
      <c r="A881">
        <v>15.74</v>
      </c>
      <c r="C881">
        <f t="shared" si="26"/>
        <v>2.214268093417695</v>
      </c>
      <c r="D881" t="str">
        <f t="shared" si="27"/>
        <v>Normal</v>
      </c>
    </row>
    <row r="882" spans="1:4" x14ac:dyDescent="0.25">
      <c r="A882">
        <v>15.86</v>
      </c>
      <c r="C882">
        <f t="shared" si="26"/>
        <v>2.2349579133790902</v>
      </c>
      <c r="D882" t="str">
        <f t="shared" si="27"/>
        <v>Normal</v>
      </c>
    </row>
    <row r="883" spans="1:4" x14ac:dyDescent="0.25">
      <c r="A883">
        <v>10.24</v>
      </c>
      <c r="C883">
        <f t="shared" si="26"/>
        <v>1.2659846785203952</v>
      </c>
      <c r="D883" t="str">
        <f t="shared" si="27"/>
        <v>Normal</v>
      </c>
    </row>
    <row r="884" spans="1:4" x14ac:dyDescent="0.25">
      <c r="A884">
        <v>-2.8</v>
      </c>
      <c r="C884">
        <f t="shared" si="26"/>
        <v>-0.9823090906179297</v>
      </c>
      <c r="D884" t="str">
        <f t="shared" si="27"/>
        <v>Normal</v>
      </c>
    </row>
    <row r="885" spans="1:4" x14ac:dyDescent="0.25">
      <c r="A885">
        <v>8.01</v>
      </c>
      <c r="C885">
        <f t="shared" si="26"/>
        <v>0.88149885757112634</v>
      </c>
      <c r="D885" t="str">
        <f t="shared" si="27"/>
        <v>Normal</v>
      </c>
    </row>
    <row r="886" spans="1:4" x14ac:dyDescent="0.25">
      <c r="A886">
        <v>11.11</v>
      </c>
      <c r="C886">
        <f t="shared" si="26"/>
        <v>1.4159858732405135</v>
      </c>
      <c r="D886" t="str">
        <f t="shared" si="27"/>
        <v>Normal</v>
      </c>
    </row>
    <row r="887" spans="1:4" x14ac:dyDescent="0.25">
      <c r="A887">
        <v>0.18</v>
      </c>
      <c r="C887">
        <f t="shared" si="26"/>
        <v>-0.46851189490993828</v>
      </c>
      <c r="D887" t="str">
        <f t="shared" si="27"/>
        <v>Normal</v>
      </c>
    </row>
    <row r="888" spans="1:4" x14ac:dyDescent="0.25">
      <c r="A888">
        <v>13.44</v>
      </c>
      <c r="C888">
        <f t="shared" si="26"/>
        <v>1.8177132108242786</v>
      </c>
      <c r="D888" t="str">
        <f t="shared" si="27"/>
        <v>Normal</v>
      </c>
    </row>
    <row r="889" spans="1:4" x14ac:dyDescent="0.25">
      <c r="A889">
        <v>9.7200000000000006</v>
      </c>
      <c r="C889">
        <f t="shared" si="26"/>
        <v>1.1763287920210144</v>
      </c>
      <c r="D889" t="str">
        <f t="shared" si="27"/>
        <v>Normal</v>
      </c>
    </row>
    <row r="890" spans="1:4" x14ac:dyDescent="0.25">
      <c r="A890">
        <v>11.48</v>
      </c>
      <c r="C890">
        <f t="shared" si="26"/>
        <v>1.47977948478815</v>
      </c>
      <c r="D890" t="str">
        <f t="shared" si="27"/>
        <v>Normal</v>
      </c>
    </row>
    <row r="891" spans="1:4" x14ac:dyDescent="0.25">
      <c r="A891">
        <v>17</v>
      </c>
      <c r="C891">
        <f t="shared" si="26"/>
        <v>2.4315112030123491</v>
      </c>
      <c r="D891" t="str">
        <f t="shared" si="27"/>
        <v>Normal</v>
      </c>
    </row>
    <row r="892" spans="1:4" x14ac:dyDescent="0.25">
      <c r="A892">
        <v>7.6</v>
      </c>
      <c r="C892">
        <f t="shared" si="26"/>
        <v>0.81080863936969128</v>
      </c>
      <c r="D892" t="str">
        <f t="shared" si="27"/>
        <v>Normal</v>
      </c>
    </row>
    <row r="893" spans="1:4" x14ac:dyDescent="0.25">
      <c r="A893">
        <v>10.8</v>
      </c>
      <c r="C893">
        <f t="shared" si="26"/>
        <v>1.362537171673575</v>
      </c>
      <c r="D893" t="str">
        <f t="shared" si="27"/>
        <v>Normal</v>
      </c>
    </row>
    <row r="894" spans="1:4" x14ac:dyDescent="0.25">
      <c r="A894">
        <v>-0.27</v>
      </c>
      <c r="C894">
        <f t="shared" si="26"/>
        <v>-0.54609871976517199</v>
      </c>
      <c r="D894" t="str">
        <f t="shared" si="27"/>
        <v>Normal</v>
      </c>
    </row>
    <row r="895" spans="1:4" x14ac:dyDescent="0.25">
      <c r="A895">
        <v>2.96</v>
      </c>
      <c r="C895">
        <f t="shared" si="26"/>
        <v>1.0802267529060423E-2</v>
      </c>
      <c r="D895" t="str">
        <f t="shared" si="27"/>
        <v>Normal</v>
      </c>
    </row>
    <row r="896" spans="1:4" x14ac:dyDescent="0.25">
      <c r="A896">
        <v>13.39</v>
      </c>
      <c r="C896">
        <f t="shared" si="26"/>
        <v>1.8090924525070307</v>
      </c>
      <c r="D896" t="str">
        <f t="shared" si="27"/>
        <v>Normal</v>
      </c>
    </row>
    <row r="897" spans="1:4" x14ac:dyDescent="0.25">
      <c r="A897">
        <v>5.05</v>
      </c>
      <c r="C897">
        <f t="shared" si="26"/>
        <v>0.37114996519003429</v>
      </c>
      <c r="D897" t="str">
        <f t="shared" si="27"/>
        <v>Normal</v>
      </c>
    </row>
    <row r="898" spans="1:4" x14ac:dyDescent="0.25">
      <c r="A898">
        <v>16.920000000000002</v>
      </c>
      <c r="C898">
        <f t="shared" si="26"/>
        <v>2.417717989704752</v>
      </c>
      <c r="D898" t="str">
        <f t="shared" si="27"/>
        <v>Normal</v>
      </c>
    </row>
    <row r="899" spans="1:4" x14ac:dyDescent="0.25">
      <c r="A899">
        <v>14.83</v>
      </c>
      <c r="C899">
        <f t="shared" ref="C899:C962" si="28">(A899 - $B$5) / $B$7</f>
        <v>2.0573702920437782</v>
      </c>
      <c r="D899" t="str">
        <f t="shared" ref="D899:D962" si="29">IF(ABS(C899) &gt; 2.5, "Outlier", "Normal")</f>
        <v>Normal</v>
      </c>
    </row>
    <row r="900" spans="1:4" x14ac:dyDescent="0.25">
      <c r="A900">
        <v>0.03</v>
      </c>
      <c r="C900">
        <f t="shared" si="28"/>
        <v>-0.49437416986168287</v>
      </c>
      <c r="D900" t="str">
        <f t="shared" si="29"/>
        <v>Normal</v>
      </c>
    </row>
    <row r="901" spans="1:4" x14ac:dyDescent="0.25">
      <c r="A901">
        <v>0.17</v>
      </c>
      <c r="C901">
        <f t="shared" si="28"/>
        <v>-0.47023604657338797</v>
      </c>
      <c r="D901" t="str">
        <f t="shared" si="29"/>
        <v>Normal</v>
      </c>
    </row>
    <row r="902" spans="1:4" x14ac:dyDescent="0.25">
      <c r="A902">
        <v>16.3</v>
      </c>
      <c r="C902">
        <f t="shared" si="28"/>
        <v>2.3108205865708746</v>
      </c>
      <c r="D902" t="str">
        <f t="shared" si="29"/>
        <v>Normal</v>
      </c>
    </row>
    <row r="903" spans="1:4" x14ac:dyDescent="0.25">
      <c r="A903">
        <v>-5</v>
      </c>
      <c r="C903">
        <f t="shared" si="28"/>
        <v>-1.3616224565768498</v>
      </c>
      <c r="D903" t="str">
        <f t="shared" si="29"/>
        <v>Normal</v>
      </c>
    </row>
    <row r="904" spans="1:4" x14ac:dyDescent="0.25">
      <c r="A904">
        <v>13.75</v>
      </c>
      <c r="C904">
        <f t="shared" si="28"/>
        <v>1.8711619123912173</v>
      </c>
      <c r="D904" t="str">
        <f t="shared" si="29"/>
        <v>Normal</v>
      </c>
    </row>
    <row r="905" spans="1:4" x14ac:dyDescent="0.25">
      <c r="A905">
        <v>-4.3499999999999996</v>
      </c>
      <c r="C905">
        <f t="shared" si="28"/>
        <v>-1.2495525984526235</v>
      </c>
      <c r="D905" t="str">
        <f t="shared" si="29"/>
        <v>Normal</v>
      </c>
    </row>
    <row r="906" spans="1:4" x14ac:dyDescent="0.25">
      <c r="A906">
        <v>5.86</v>
      </c>
      <c r="C906">
        <f t="shared" si="28"/>
        <v>0.51080624992945489</v>
      </c>
      <c r="D906" t="str">
        <f t="shared" si="29"/>
        <v>Normal</v>
      </c>
    </row>
    <row r="907" spans="1:4" x14ac:dyDescent="0.25">
      <c r="A907">
        <v>13.9</v>
      </c>
      <c r="C907">
        <f t="shared" si="28"/>
        <v>1.8970241873429621</v>
      </c>
      <c r="D907" t="str">
        <f t="shared" si="29"/>
        <v>Normal</v>
      </c>
    </row>
    <row r="908" spans="1:4" x14ac:dyDescent="0.25">
      <c r="A908">
        <v>8.1999999999999993</v>
      </c>
      <c r="C908">
        <f t="shared" si="28"/>
        <v>0.91425773917666942</v>
      </c>
      <c r="D908" t="str">
        <f t="shared" si="29"/>
        <v>Normal</v>
      </c>
    </row>
    <row r="909" spans="1:4" x14ac:dyDescent="0.25">
      <c r="A909">
        <v>6.94</v>
      </c>
      <c r="C909">
        <f t="shared" si="28"/>
        <v>0.69701462958201565</v>
      </c>
      <c r="D909" t="str">
        <f t="shared" si="29"/>
        <v>Normal</v>
      </c>
    </row>
    <row r="910" spans="1:4" x14ac:dyDescent="0.25">
      <c r="A910">
        <v>-4.4800000000000004</v>
      </c>
      <c r="C910">
        <f t="shared" si="28"/>
        <v>-1.2719665700774687</v>
      </c>
      <c r="D910" t="str">
        <f t="shared" si="29"/>
        <v>Normal</v>
      </c>
    </row>
    <row r="911" spans="1:4" x14ac:dyDescent="0.25">
      <c r="A911">
        <v>17.13</v>
      </c>
      <c r="C911">
        <f t="shared" si="28"/>
        <v>2.453925174637194</v>
      </c>
      <c r="D911" t="str">
        <f t="shared" si="29"/>
        <v>Normal</v>
      </c>
    </row>
    <row r="912" spans="1:4" x14ac:dyDescent="0.25">
      <c r="A912">
        <v>3</v>
      </c>
      <c r="C912">
        <f t="shared" si="28"/>
        <v>1.7698874182858971E-2</v>
      </c>
      <c r="D912" t="str">
        <f t="shared" si="29"/>
        <v>Normal</v>
      </c>
    </row>
    <row r="913" spans="1:4" x14ac:dyDescent="0.25">
      <c r="A913">
        <v>5.52</v>
      </c>
      <c r="C913">
        <f t="shared" si="28"/>
        <v>0.45218509337216711</v>
      </c>
      <c r="D913" t="str">
        <f t="shared" si="29"/>
        <v>Normal</v>
      </c>
    </row>
    <row r="914" spans="1:4" x14ac:dyDescent="0.25">
      <c r="A914">
        <v>2.65</v>
      </c>
      <c r="C914">
        <f t="shared" si="28"/>
        <v>-4.2646434037878295E-2</v>
      </c>
      <c r="D914" t="str">
        <f t="shared" si="29"/>
        <v>Normal</v>
      </c>
    </row>
    <row r="915" spans="1:4" x14ac:dyDescent="0.25">
      <c r="A915">
        <v>17.32</v>
      </c>
      <c r="C915">
        <f t="shared" si="28"/>
        <v>2.4866840562427375</v>
      </c>
      <c r="D915" t="str">
        <f t="shared" si="29"/>
        <v>Normal</v>
      </c>
    </row>
    <row r="916" spans="1:4" x14ac:dyDescent="0.25">
      <c r="A916">
        <v>8.36</v>
      </c>
      <c r="C916">
        <f t="shared" si="28"/>
        <v>0.94184416579186359</v>
      </c>
      <c r="D916" t="str">
        <f t="shared" si="29"/>
        <v>Normal</v>
      </c>
    </row>
    <row r="917" spans="1:4" x14ac:dyDescent="0.25">
      <c r="A917">
        <v>1.06</v>
      </c>
      <c r="C917">
        <f t="shared" si="28"/>
        <v>-0.31678654852637034</v>
      </c>
      <c r="D917" t="str">
        <f t="shared" si="29"/>
        <v>Normal</v>
      </c>
    </row>
    <row r="918" spans="1:4" x14ac:dyDescent="0.25">
      <c r="A918">
        <v>15.69</v>
      </c>
      <c r="C918">
        <f t="shared" si="28"/>
        <v>2.2056473351004464</v>
      </c>
      <c r="D918" t="str">
        <f t="shared" si="29"/>
        <v>Normal</v>
      </c>
    </row>
    <row r="919" spans="1:4" x14ac:dyDescent="0.25">
      <c r="A919">
        <v>3.18</v>
      </c>
      <c r="C919">
        <f t="shared" si="28"/>
        <v>4.8733604124952444E-2</v>
      </c>
      <c r="D919" t="str">
        <f t="shared" si="29"/>
        <v>Normal</v>
      </c>
    </row>
    <row r="920" spans="1:4" x14ac:dyDescent="0.25">
      <c r="A920">
        <v>-1.47</v>
      </c>
      <c r="C920">
        <f t="shared" si="28"/>
        <v>-0.75299691937912827</v>
      </c>
      <c r="D920" t="str">
        <f t="shared" si="29"/>
        <v>Normal</v>
      </c>
    </row>
    <row r="921" spans="1:4" x14ac:dyDescent="0.25">
      <c r="A921">
        <v>13.59</v>
      </c>
      <c r="C921">
        <f t="shared" si="28"/>
        <v>1.8435754857760231</v>
      </c>
      <c r="D921" t="str">
        <f t="shared" si="29"/>
        <v>Normal</v>
      </c>
    </row>
    <row r="922" spans="1:4" x14ac:dyDescent="0.25">
      <c r="A922">
        <v>6.04</v>
      </c>
      <c r="C922">
        <f t="shared" si="28"/>
        <v>0.54184097987154822</v>
      </c>
      <c r="D922" t="str">
        <f t="shared" si="29"/>
        <v>Normal</v>
      </c>
    </row>
    <row r="923" spans="1:4" x14ac:dyDescent="0.25">
      <c r="A923">
        <v>7.02</v>
      </c>
      <c r="C923">
        <f t="shared" si="28"/>
        <v>0.71080784288961241</v>
      </c>
      <c r="D923" t="str">
        <f t="shared" si="29"/>
        <v>Normal</v>
      </c>
    </row>
    <row r="924" spans="1:4" x14ac:dyDescent="0.25">
      <c r="A924">
        <v>9.17</v>
      </c>
      <c r="C924">
        <f t="shared" si="28"/>
        <v>1.0815004505312842</v>
      </c>
      <c r="D924" t="str">
        <f t="shared" si="29"/>
        <v>Normal</v>
      </c>
    </row>
    <row r="925" spans="1:4" x14ac:dyDescent="0.25">
      <c r="A925">
        <v>7.66</v>
      </c>
      <c r="C925">
        <f t="shared" si="28"/>
        <v>0.8211535493503892</v>
      </c>
      <c r="D925" t="str">
        <f t="shared" si="29"/>
        <v>Normal</v>
      </c>
    </row>
    <row r="926" spans="1:4" x14ac:dyDescent="0.25">
      <c r="A926">
        <v>-0.41</v>
      </c>
      <c r="C926">
        <f t="shared" si="28"/>
        <v>-0.57023684305346689</v>
      </c>
      <c r="D926" t="str">
        <f t="shared" si="29"/>
        <v>Normal</v>
      </c>
    </row>
    <row r="927" spans="1:4" x14ac:dyDescent="0.25">
      <c r="A927">
        <v>15.13</v>
      </c>
      <c r="C927">
        <f t="shared" si="28"/>
        <v>2.1090948419472673</v>
      </c>
      <c r="D927" t="str">
        <f t="shared" si="29"/>
        <v>Normal</v>
      </c>
    </row>
    <row r="928" spans="1:4" x14ac:dyDescent="0.25">
      <c r="A928">
        <v>10.220000000000001</v>
      </c>
      <c r="C928">
        <f t="shared" si="28"/>
        <v>1.2625363751934962</v>
      </c>
      <c r="D928" t="str">
        <f t="shared" si="29"/>
        <v>Normal</v>
      </c>
    </row>
    <row r="929" spans="1:4" x14ac:dyDescent="0.25">
      <c r="A929">
        <v>-3.11</v>
      </c>
      <c r="C929">
        <f t="shared" si="28"/>
        <v>-1.0357577921848684</v>
      </c>
      <c r="D929" t="str">
        <f t="shared" si="29"/>
        <v>Normal</v>
      </c>
    </row>
    <row r="930" spans="1:4" x14ac:dyDescent="0.25">
      <c r="A930">
        <v>6.8</v>
      </c>
      <c r="C930">
        <f t="shared" si="28"/>
        <v>0.67287650629372053</v>
      </c>
      <c r="D930" t="str">
        <f t="shared" si="29"/>
        <v>Normal</v>
      </c>
    </row>
    <row r="931" spans="1:4" x14ac:dyDescent="0.25">
      <c r="A931">
        <v>5.38</v>
      </c>
      <c r="C931">
        <f t="shared" si="28"/>
        <v>0.42804697008387227</v>
      </c>
      <c r="D931" t="str">
        <f t="shared" si="29"/>
        <v>Normal</v>
      </c>
    </row>
    <row r="932" spans="1:4" x14ac:dyDescent="0.25">
      <c r="A932">
        <v>5.2</v>
      </c>
      <c r="C932">
        <f t="shared" si="28"/>
        <v>0.39701224014177888</v>
      </c>
      <c r="D932" t="str">
        <f t="shared" si="29"/>
        <v>Normal</v>
      </c>
    </row>
    <row r="933" spans="1:4" x14ac:dyDescent="0.25">
      <c r="A933">
        <v>-2.13</v>
      </c>
      <c r="C933">
        <f t="shared" si="28"/>
        <v>-0.86679092916680411</v>
      </c>
      <c r="D933" t="str">
        <f t="shared" si="29"/>
        <v>Normal</v>
      </c>
    </row>
    <row r="934" spans="1:4" x14ac:dyDescent="0.25">
      <c r="A934">
        <v>2.81</v>
      </c>
      <c r="C934">
        <f t="shared" si="28"/>
        <v>-1.50600074226841E-2</v>
      </c>
      <c r="D934" t="str">
        <f t="shared" si="29"/>
        <v>Normal</v>
      </c>
    </row>
    <row r="935" spans="1:4" x14ac:dyDescent="0.25">
      <c r="A935">
        <v>-1.81</v>
      </c>
      <c r="C935">
        <f t="shared" si="28"/>
        <v>-0.81161807593641588</v>
      </c>
      <c r="D935" t="str">
        <f t="shared" si="29"/>
        <v>Normal</v>
      </c>
    </row>
    <row r="936" spans="1:4" x14ac:dyDescent="0.25">
      <c r="A936">
        <v>-1.8</v>
      </c>
      <c r="C936">
        <f t="shared" si="28"/>
        <v>-0.80989392427296625</v>
      </c>
      <c r="D936" t="str">
        <f t="shared" si="29"/>
        <v>Normal</v>
      </c>
    </row>
    <row r="937" spans="1:4" x14ac:dyDescent="0.25">
      <c r="A937">
        <v>7.19</v>
      </c>
      <c r="C937">
        <f t="shared" si="28"/>
        <v>0.74011842116825655</v>
      </c>
      <c r="D937" t="str">
        <f t="shared" si="29"/>
        <v>Normal</v>
      </c>
    </row>
    <row r="938" spans="1:4" x14ac:dyDescent="0.25">
      <c r="A938">
        <v>11.76</v>
      </c>
      <c r="C938">
        <f t="shared" si="28"/>
        <v>1.5280557313647398</v>
      </c>
      <c r="D938" t="str">
        <f t="shared" si="29"/>
        <v>Normal</v>
      </c>
    </row>
    <row r="939" spans="1:4" x14ac:dyDescent="0.25">
      <c r="A939">
        <v>2.17</v>
      </c>
      <c r="C939">
        <f t="shared" si="28"/>
        <v>-0.12540571388346081</v>
      </c>
      <c r="D939" t="str">
        <f t="shared" si="29"/>
        <v>Normal</v>
      </c>
    </row>
    <row r="940" spans="1:4" x14ac:dyDescent="0.25">
      <c r="A940">
        <v>-1.19</v>
      </c>
      <c r="C940">
        <f t="shared" si="28"/>
        <v>-0.70472067280253847</v>
      </c>
      <c r="D940" t="str">
        <f t="shared" si="29"/>
        <v>Normal</v>
      </c>
    </row>
    <row r="941" spans="1:4" x14ac:dyDescent="0.25">
      <c r="A941">
        <v>14.5</v>
      </c>
      <c r="C941">
        <f t="shared" si="28"/>
        <v>2.0004732871499402</v>
      </c>
      <c r="D941" t="str">
        <f t="shared" si="29"/>
        <v>Normal</v>
      </c>
    </row>
    <row r="942" spans="1:4" x14ac:dyDescent="0.25">
      <c r="A942">
        <v>-3.96</v>
      </c>
      <c r="C942">
        <f t="shared" si="28"/>
        <v>-1.1823106835780874</v>
      </c>
      <c r="D942" t="str">
        <f t="shared" si="29"/>
        <v>Normal</v>
      </c>
    </row>
    <row r="943" spans="1:4" x14ac:dyDescent="0.25">
      <c r="A943">
        <v>17.47</v>
      </c>
      <c r="C943">
        <f t="shared" si="28"/>
        <v>2.5125463311944816</v>
      </c>
      <c r="D943" t="str">
        <f t="shared" si="29"/>
        <v>Outlier</v>
      </c>
    </row>
    <row r="944" spans="1:4" x14ac:dyDescent="0.25">
      <c r="A944">
        <v>6.79</v>
      </c>
      <c r="C944">
        <f t="shared" si="28"/>
        <v>0.6711523546302709</v>
      </c>
      <c r="D944" t="str">
        <f t="shared" si="29"/>
        <v>Normal</v>
      </c>
    </row>
    <row r="945" spans="1:4" x14ac:dyDescent="0.25">
      <c r="A945">
        <v>7.8</v>
      </c>
      <c r="C945">
        <f t="shared" si="28"/>
        <v>0.84529167263868421</v>
      </c>
      <c r="D945" t="str">
        <f t="shared" si="29"/>
        <v>Normal</v>
      </c>
    </row>
    <row r="946" spans="1:4" x14ac:dyDescent="0.25">
      <c r="A946">
        <v>4.4800000000000004</v>
      </c>
      <c r="C946">
        <f t="shared" si="28"/>
        <v>0.27287332037340517</v>
      </c>
      <c r="D946" t="str">
        <f t="shared" si="29"/>
        <v>Normal</v>
      </c>
    </row>
    <row r="947" spans="1:4" x14ac:dyDescent="0.25">
      <c r="A947">
        <v>8.5</v>
      </c>
      <c r="C947">
        <f t="shared" si="28"/>
        <v>0.9659822890801586</v>
      </c>
      <c r="D947" t="str">
        <f t="shared" si="29"/>
        <v>Normal</v>
      </c>
    </row>
    <row r="948" spans="1:4" x14ac:dyDescent="0.25">
      <c r="A948">
        <v>12.88</v>
      </c>
      <c r="C948">
        <f t="shared" si="28"/>
        <v>1.7211607176710992</v>
      </c>
      <c r="D948" t="str">
        <f t="shared" si="29"/>
        <v>Normal</v>
      </c>
    </row>
    <row r="949" spans="1:4" x14ac:dyDescent="0.25">
      <c r="A949">
        <v>-2.83</v>
      </c>
      <c r="C949">
        <f t="shared" si="28"/>
        <v>-0.98748154560827883</v>
      </c>
      <c r="D949" t="str">
        <f t="shared" si="29"/>
        <v>Normal</v>
      </c>
    </row>
    <row r="950" spans="1:4" x14ac:dyDescent="0.25">
      <c r="A950">
        <v>5.18</v>
      </c>
      <c r="C950">
        <f t="shared" si="28"/>
        <v>0.3935639368148795</v>
      </c>
      <c r="D950" t="str">
        <f t="shared" si="29"/>
        <v>Normal</v>
      </c>
    </row>
    <row r="951" spans="1:4" x14ac:dyDescent="0.25">
      <c r="A951">
        <v>15.63</v>
      </c>
      <c r="C951">
        <f t="shared" si="28"/>
        <v>2.195302425119749</v>
      </c>
      <c r="D951" t="str">
        <f t="shared" si="29"/>
        <v>Normal</v>
      </c>
    </row>
    <row r="952" spans="1:4" x14ac:dyDescent="0.25">
      <c r="A952">
        <v>3.25</v>
      </c>
      <c r="C952">
        <f t="shared" si="28"/>
        <v>6.0802665769099866E-2</v>
      </c>
      <c r="D952" t="str">
        <f t="shared" si="29"/>
        <v>Normal</v>
      </c>
    </row>
    <row r="953" spans="1:4" x14ac:dyDescent="0.25">
      <c r="A953">
        <v>12.79</v>
      </c>
      <c r="C953">
        <f t="shared" si="28"/>
        <v>1.7056433527000523</v>
      </c>
      <c r="D953" t="str">
        <f t="shared" si="29"/>
        <v>Normal</v>
      </c>
    </row>
    <row r="954" spans="1:4" x14ac:dyDescent="0.25">
      <c r="A954">
        <v>6.55</v>
      </c>
      <c r="C954">
        <f t="shared" si="28"/>
        <v>0.62977271470747964</v>
      </c>
      <c r="D954" t="str">
        <f t="shared" si="29"/>
        <v>Normal</v>
      </c>
    </row>
    <row r="955" spans="1:4" x14ac:dyDescent="0.25">
      <c r="A955">
        <v>6.66</v>
      </c>
      <c r="C955">
        <f t="shared" si="28"/>
        <v>0.64873838300542574</v>
      </c>
      <c r="D955" t="str">
        <f t="shared" si="29"/>
        <v>Normal</v>
      </c>
    </row>
    <row r="956" spans="1:4" x14ac:dyDescent="0.25">
      <c r="A956">
        <v>10.48</v>
      </c>
      <c r="C956">
        <f t="shared" si="28"/>
        <v>1.3073643184431865</v>
      </c>
      <c r="D956" t="str">
        <f t="shared" si="29"/>
        <v>Normal</v>
      </c>
    </row>
    <row r="957" spans="1:4" x14ac:dyDescent="0.25">
      <c r="A957">
        <v>-3.08</v>
      </c>
      <c r="C957">
        <f t="shared" si="28"/>
        <v>-1.0305853371945197</v>
      </c>
      <c r="D957" t="str">
        <f t="shared" si="29"/>
        <v>Normal</v>
      </c>
    </row>
    <row r="958" spans="1:4" x14ac:dyDescent="0.25">
      <c r="A958">
        <v>9.69</v>
      </c>
      <c r="C958">
        <f t="shared" si="28"/>
        <v>1.1711563370306652</v>
      </c>
      <c r="D958" t="str">
        <f t="shared" si="29"/>
        <v>Normal</v>
      </c>
    </row>
    <row r="959" spans="1:4" x14ac:dyDescent="0.25">
      <c r="A959">
        <v>9.51</v>
      </c>
      <c r="C959">
        <f t="shared" si="28"/>
        <v>1.1401216070885718</v>
      </c>
      <c r="D959" t="str">
        <f t="shared" si="29"/>
        <v>Normal</v>
      </c>
    </row>
    <row r="960" spans="1:4" x14ac:dyDescent="0.25">
      <c r="A960">
        <v>7.1</v>
      </c>
      <c r="C960">
        <f t="shared" si="28"/>
        <v>0.72460105619720949</v>
      </c>
      <c r="D960" t="str">
        <f t="shared" si="29"/>
        <v>Normal</v>
      </c>
    </row>
    <row r="961" spans="1:4" x14ac:dyDescent="0.25">
      <c r="A961">
        <v>13.82</v>
      </c>
      <c r="C961">
        <f t="shared" si="28"/>
        <v>1.8832309740353648</v>
      </c>
      <c r="D961" t="str">
        <f t="shared" si="29"/>
        <v>Normal</v>
      </c>
    </row>
    <row r="962" spans="1:4" x14ac:dyDescent="0.25">
      <c r="A962">
        <v>7.42</v>
      </c>
      <c r="C962">
        <f t="shared" si="28"/>
        <v>0.77977390942759794</v>
      </c>
      <c r="D962" t="str">
        <f t="shared" si="29"/>
        <v>Normal</v>
      </c>
    </row>
    <row r="963" spans="1:4" x14ac:dyDescent="0.25">
      <c r="A963">
        <v>8.56</v>
      </c>
      <c r="C963">
        <f t="shared" ref="C963:C1000" si="30">(A963 - $B$5) / $B$7</f>
        <v>0.97632719906085652</v>
      </c>
      <c r="D963" t="str">
        <f t="shared" ref="D963:D1000" si="31">IF(ABS(C963) &gt; 2.5, "Outlier", "Normal")</f>
        <v>Normal</v>
      </c>
    </row>
    <row r="964" spans="1:4" x14ac:dyDescent="0.25">
      <c r="A964">
        <v>6.69</v>
      </c>
      <c r="C964">
        <f t="shared" si="30"/>
        <v>0.65391083799577465</v>
      </c>
      <c r="D964" t="str">
        <f t="shared" si="31"/>
        <v>Normal</v>
      </c>
    </row>
    <row r="965" spans="1:4" x14ac:dyDescent="0.25">
      <c r="A965">
        <v>16.09</v>
      </c>
      <c r="C965">
        <f t="shared" si="30"/>
        <v>2.2746134016384323</v>
      </c>
      <c r="D965" t="str">
        <f t="shared" si="31"/>
        <v>Normal</v>
      </c>
    </row>
    <row r="966" spans="1:4" x14ac:dyDescent="0.25">
      <c r="A966">
        <v>-3.02</v>
      </c>
      <c r="C966">
        <f t="shared" si="30"/>
        <v>-1.0202404272138217</v>
      </c>
      <c r="D966" t="str">
        <f t="shared" si="31"/>
        <v>Normal</v>
      </c>
    </row>
    <row r="967" spans="1:4" x14ac:dyDescent="0.25">
      <c r="A967">
        <v>5.36</v>
      </c>
      <c r="C967">
        <f t="shared" si="30"/>
        <v>0.42459866675697305</v>
      </c>
      <c r="D967" t="str">
        <f t="shared" si="31"/>
        <v>Normal</v>
      </c>
    </row>
    <row r="968" spans="1:4" x14ac:dyDescent="0.25">
      <c r="A968">
        <v>-4.6500000000000004</v>
      </c>
      <c r="C968">
        <f t="shared" si="30"/>
        <v>-1.3012771483561125</v>
      </c>
      <c r="D968" t="str">
        <f t="shared" si="31"/>
        <v>Normal</v>
      </c>
    </row>
    <row r="969" spans="1:4" x14ac:dyDescent="0.25">
      <c r="A969">
        <v>11.94</v>
      </c>
      <c r="C969">
        <f t="shared" si="30"/>
        <v>1.5590904613068333</v>
      </c>
      <c r="D969" t="str">
        <f t="shared" si="31"/>
        <v>Normal</v>
      </c>
    </row>
    <row r="970" spans="1:4" x14ac:dyDescent="0.25">
      <c r="A970">
        <v>5.44</v>
      </c>
      <c r="C970">
        <f t="shared" si="30"/>
        <v>0.43839188006457019</v>
      </c>
      <c r="D970" t="str">
        <f t="shared" si="31"/>
        <v>Normal</v>
      </c>
    </row>
    <row r="971" spans="1:4" x14ac:dyDescent="0.25">
      <c r="A971">
        <v>13.64</v>
      </c>
      <c r="C971">
        <f t="shared" si="30"/>
        <v>1.8521962440932715</v>
      </c>
      <c r="D971" t="str">
        <f t="shared" si="31"/>
        <v>Normal</v>
      </c>
    </row>
    <row r="972" spans="1:4" x14ac:dyDescent="0.25">
      <c r="A972">
        <v>-1.76</v>
      </c>
      <c r="C972">
        <f t="shared" si="30"/>
        <v>-0.80299731761916771</v>
      </c>
      <c r="D972" t="str">
        <f t="shared" si="31"/>
        <v>Normal</v>
      </c>
    </row>
    <row r="973" spans="1:4" x14ac:dyDescent="0.25">
      <c r="A973">
        <v>14.68</v>
      </c>
      <c r="C973">
        <f t="shared" si="30"/>
        <v>2.0315080170920337</v>
      </c>
      <c r="D973" t="str">
        <f t="shared" si="31"/>
        <v>Normal</v>
      </c>
    </row>
    <row r="974" spans="1:4" x14ac:dyDescent="0.25">
      <c r="A974">
        <v>11.43</v>
      </c>
      <c r="C974">
        <f t="shared" si="30"/>
        <v>1.4711587264709018</v>
      </c>
      <c r="D974" t="str">
        <f t="shared" si="31"/>
        <v>Normal</v>
      </c>
    </row>
    <row r="975" spans="1:4" x14ac:dyDescent="0.25">
      <c r="A975">
        <v>13.96</v>
      </c>
      <c r="C975">
        <f t="shared" si="30"/>
        <v>1.9073690973236599</v>
      </c>
      <c r="D975" t="str">
        <f t="shared" si="31"/>
        <v>Normal</v>
      </c>
    </row>
    <row r="976" spans="1:4" x14ac:dyDescent="0.25">
      <c r="A976">
        <v>5.49</v>
      </c>
      <c r="C976">
        <f t="shared" si="30"/>
        <v>0.44701263838181832</v>
      </c>
      <c r="D976" t="str">
        <f t="shared" si="31"/>
        <v>Normal</v>
      </c>
    </row>
    <row r="977" spans="1:4" x14ac:dyDescent="0.25">
      <c r="A977">
        <v>12.95</v>
      </c>
      <c r="C977">
        <f t="shared" si="30"/>
        <v>1.7332297793152465</v>
      </c>
      <c r="D977" t="str">
        <f t="shared" si="31"/>
        <v>Normal</v>
      </c>
    </row>
    <row r="978" spans="1:4" x14ac:dyDescent="0.25">
      <c r="A978">
        <v>9.4499999999999993</v>
      </c>
      <c r="C978">
        <f t="shared" si="30"/>
        <v>1.1297766971078738</v>
      </c>
      <c r="D978" t="str">
        <f t="shared" si="31"/>
        <v>Normal</v>
      </c>
    </row>
    <row r="979" spans="1:4" x14ac:dyDescent="0.25">
      <c r="A979">
        <v>15.18</v>
      </c>
      <c r="C979">
        <f t="shared" si="30"/>
        <v>2.1177156002645154</v>
      </c>
      <c r="D979" t="str">
        <f t="shared" si="31"/>
        <v>Normal</v>
      </c>
    </row>
    <row r="980" spans="1:4" x14ac:dyDescent="0.25">
      <c r="A980">
        <v>8.5</v>
      </c>
      <c r="C980">
        <f t="shared" si="30"/>
        <v>0.9659822890801586</v>
      </c>
      <c r="D980" t="str">
        <f t="shared" si="31"/>
        <v>Normal</v>
      </c>
    </row>
    <row r="981" spans="1:4" x14ac:dyDescent="0.25">
      <c r="A981">
        <v>-0.68</v>
      </c>
      <c r="C981">
        <f t="shared" si="30"/>
        <v>-0.61678893796660705</v>
      </c>
      <c r="D981" t="str">
        <f t="shared" si="31"/>
        <v>Normal</v>
      </c>
    </row>
    <row r="982" spans="1:4" x14ac:dyDescent="0.25">
      <c r="A982">
        <v>15.45</v>
      </c>
      <c r="C982">
        <f t="shared" si="30"/>
        <v>2.1642676951776552</v>
      </c>
      <c r="D982" t="str">
        <f t="shared" si="31"/>
        <v>Normal</v>
      </c>
    </row>
    <row r="983" spans="1:4" x14ac:dyDescent="0.25">
      <c r="A983">
        <v>-0.14000000000000001</v>
      </c>
      <c r="C983">
        <f t="shared" si="30"/>
        <v>-0.52368474814032673</v>
      </c>
      <c r="D983" t="str">
        <f t="shared" si="31"/>
        <v>Normal</v>
      </c>
    </row>
    <row r="984" spans="1:4" x14ac:dyDescent="0.25">
      <c r="A984">
        <v>11.52</v>
      </c>
      <c r="C984">
        <f t="shared" si="30"/>
        <v>1.4866760914419486</v>
      </c>
      <c r="D984" t="str">
        <f t="shared" si="31"/>
        <v>Normal</v>
      </c>
    </row>
    <row r="985" spans="1:4" x14ac:dyDescent="0.25">
      <c r="A985">
        <v>4.08</v>
      </c>
      <c r="C985">
        <f t="shared" si="30"/>
        <v>0.20390725383541966</v>
      </c>
      <c r="D985" t="str">
        <f t="shared" si="31"/>
        <v>Normal</v>
      </c>
    </row>
    <row r="986" spans="1:4" x14ac:dyDescent="0.25">
      <c r="A986">
        <v>11.82</v>
      </c>
      <c r="C986">
        <f t="shared" si="30"/>
        <v>1.5384006413454376</v>
      </c>
      <c r="D986" t="str">
        <f t="shared" si="31"/>
        <v>Normal</v>
      </c>
    </row>
    <row r="987" spans="1:4" x14ac:dyDescent="0.25">
      <c r="A987">
        <v>17.25</v>
      </c>
      <c r="C987">
        <f t="shared" si="30"/>
        <v>2.47461499459859</v>
      </c>
      <c r="D987" t="str">
        <f t="shared" si="31"/>
        <v>Normal</v>
      </c>
    </row>
    <row r="988" spans="1:4" x14ac:dyDescent="0.25">
      <c r="A988">
        <v>14.58</v>
      </c>
      <c r="C988">
        <f t="shared" si="30"/>
        <v>2.0142665004575373</v>
      </c>
      <c r="D988" t="str">
        <f t="shared" si="31"/>
        <v>Normal</v>
      </c>
    </row>
    <row r="989" spans="1:4" x14ac:dyDescent="0.25">
      <c r="A989">
        <v>14.22</v>
      </c>
      <c r="C989">
        <f t="shared" si="30"/>
        <v>1.9521970405733504</v>
      </c>
      <c r="D989" t="str">
        <f t="shared" si="31"/>
        <v>Normal</v>
      </c>
    </row>
    <row r="990" spans="1:4" x14ac:dyDescent="0.25">
      <c r="A990">
        <v>5.3</v>
      </c>
      <c r="C990">
        <f t="shared" si="30"/>
        <v>0.41425375677627518</v>
      </c>
      <c r="D990" t="str">
        <f t="shared" si="31"/>
        <v>Normal</v>
      </c>
    </row>
    <row r="991" spans="1:4" x14ac:dyDescent="0.25">
      <c r="A991">
        <v>2.25</v>
      </c>
      <c r="C991">
        <f t="shared" si="30"/>
        <v>-0.11161250057586371</v>
      </c>
      <c r="D991" t="str">
        <f t="shared" si="31"/>
        <v>Normal</v>
      </c>
    </row>
    <row r="992" spans="1:4" x14ac:dyDescent="0.25">
      <c r="A992">
        <v>-1.3</v>
      </c>
      <c r="C992">
        <f t="shared" si="30"/>
        <v>-0.72368634110048446</v>
      </c>
      <c r="D992" t="str">
        <f t="shared" si="31"/>
        <v>Normal</v>
      </c>
    </row>
    <row r="993" spans="1:4" x14ac:dyDescent="0.25">
      <c r="A993">
        <v>1.07</v>
      </c>
      <c r="C993">
        <f t="shared" si="30"/>
        <v>-0.3150623968629207</v>
      </c>
      <c r="D993" t="str">
        <f t="shared" si="31"/>
        <v>Normal</v>
      </c>
    </row>
    <row r="994" spans="1:4" x14ac:dyDescent="0.25">
      <c r="A994">
        <v>11.17</v>
      </c>
      <c r="C994">
        <f t="shared" si="30"/>
        <v>1.4263307832212113</v>
      </c>
      <c r="D994" t="str">
        <f t="shared" si="31"/>
        <v>Normal</v>
      </c>
    </row>
    <row r="995" spans="1:4" x14ac:dyDescent="0.25">
      <c r="A995">
        <v>8.98</v>
      </c>
      <c r="C995">
        <f t="shared" si="30"/>
        <v>1.0487415689257411</v>
      </c>
      <c r="D995" t="str">
        <f t="shared" si="31"/>
        <v>Normal</v>
      </c>
    </row>
    <row r="996" spans="1:4" x14ac:dyDescent="0.25">
      <c r="A996">
        <v>12.13</v>
      </c>
      <c r="C996">
        <f t="shared" si="30"/>
        <v>1.5918493429123766</v>
      </c>
      <c r="D996" t="str">
        <f t="shared" si="31"/>
        <v>Normal</v>
      </c>
    </row>
    <row r="997" spans="1:4" x14ac:dyDescent="0.25">
      <c r="A997">
        <v>8.0399999999999991</v>
      </c>
      <c r="C997">
        <f t="shared" si="30"/>
        <v>0.88667131256147513</v>
      </c>
      <c r="D997" t="str">
        <f t="shared" si="31"/>
        <v>Normal</v>
      </c>
    </row>
    <row r="998" spans="1:4" x14ac:dyDescent="0.25">
      <c r="A998">
        <v>7.95</v>
      </c>
      <c r="C998">
        <f t="shared" si="30"/>
        <v>0.87115394759042875</v>
      </c>
      <c r="D998" t="str">
        <f t="shared" si="31"/>
        <v>Normal</v>
      </c>
    </row>
    <row r="999" spans="1:4" x14ac:dyDescent="0.25">
      <c r="A999">
        <v>16.22</v>
      </c>
      <c r="C999">
        <f t="shared" si="30"/>
        <v>2.2970273732632771</v>
      </c>
      <c r="D999" t="str">
        <f t="shared" si="31"/>
        <v>Normal</v>
      </c>
    </row>
    <row r="1000" spans="1:4" x14ac:dyDescent="0.25">
      <c r="A1000">
        <v>-1.02</v>
      </c>
      <c r="C1000">
        <f t="shared" si="30"/>
        <v>-0.67541009452389467</v>
      </c>
      <c r="D1000" t="str">
        <f t="shared" si="31"/>
        <v>Normal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ai_impact_jobs_2010_2025 (2)</vt:lpstr>
      <vt:lpstr>Salary</vt:lpstr>
      <vt:lpstr>Salary Change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Sadiah Shaikh</dc:creator>
  <cp:lastModifiedBy>Sadiah Shaikh</cp:lastModifiedBy>
  <dcterms:created xsi:type="dcterms:W3CDTF">2026-04-20T13:30:22Z</dcterms:created>
  <dcterms:modified xsi:type="dcterms:W3CDTF">2026-04-20T17:53:49Z</dcterms:modified>
</cp:coreProperties>
</file>